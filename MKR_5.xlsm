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3040" windowHeight="9195" activeTab="5"/>
  </bookViews>
  <sheets>
    <sheet name="M=1,5_Const" sheetId="1" r:id="rId1"/>
    <sheet name="M=1,5_Var" sheetId="2" r:id="rId2"/>
    <sheet name="Const_p135" sheetId="9" r:id="rId3"/>
    <sheet name="Var_p135" sheetId="8" r:id="rId4"/>
    <sheet name="Const_p105" sheetId="3" r:id="rId5"/>
    <sheet name="Var_p105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9" l="1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J17" i="9" s="1"/>
  <c r="J18" i="9" s="1"/>
  <c r="J19" i="9" s="1"/>
  <c r="I13" i="9"/>
  <c r="I17" i="9" s="1"/>
  <c r="I18" i="9" s="1"/>
  <c r="I19" i="9" s="1"/>
  <c r="H13" i="9"/>
  <c r="Q4" i="9"/>
  <c r="G4" i="9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H3" i="9"/>
  <c r="H4" i="9" s="1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3" i="8"/>
  <c r="H4" i="8" s="1"/>
  <c r="H2" i="8"/>
  <c r="I2" i="8" s="1"/>
  <c r="J2" i="8" s="1"/>
  <c r="K2" i="8" s="1"/>
  <c r="L2" i="8" s="1"/>
  <c r="M2" i="8" s="1"/>
  <c r="N2" i="8" s="1"/>
  <c r="O2" i="8" s="1"/>
  <c r="P2" i="8" s="1"/>
  <c r="Q2" i="8" s="1"/>
  <c r="H10" i="9" l="1"/>
  <c r="G13" i="9"/>
  <c r="I3" i="9"/>
  <c r="I4" i="9" s="1"/>
  <c r="I10" i="9" s="1"/>
  <c r="H11" i="9" s="1"/>
  <c r="H14" i="9" s="1"/>
  <c r="G10" i="9"/>
  <c r="Q10" i="9"/>
  <c r="N17" i="9"/>
  <c r="N18" i="9" s="1"/>
  <c r="N19" i="9" s="1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3" i="9" l="1"/>
  <c r="J4" i="9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M3" i="9"/>
  <c r="K11" i="9"/>
  <c r="K14" i="9" s="1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Q10" i="2" l="1"/>
  <c r="Q17" i="2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Q14" i="4" l="1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L13" i="4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H17" i="4" s="1"/>
  <c r="H18" i="4" s="1"/>
  <c r="H19" i="4" s="1"/>
  <c r="H21" i="4" s="1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N17" i="3"/>
  <c r="N18" i="3" s="1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O17" i="3" s="1"/>
  <c r="O18" i="3" s="1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H4" i="3" s="1"/>
  <c r="Q10" i="4" l="1"/>
  <c r="N19" i="3"/>
  <c r="K17" i="3"/>
  <c r="K18" i="3" s="1"/>
  <c r="K19" i="3" s="1"/>
  <c r="L17" i="4"/>
  <c r="L18" i="4" s="1"/>
  <c r="L19" i="4" s="1"/>
  <c r="L21" i="4" s="1"/>
  <c r="O20" i="4"/>
  <c r="O22" i="4"/>
  <c r="Q15" i="4"/>
  <c r="Q18" i="4"/>
  <c r="Q19" i="4" s="1"/>
  <c r="Q21" i="4" s="1"/>
  <c r="J20" i="4"/>
  <c r="J22" i="4"/>
  <c r="H20" i="4"/>
  <c r="H22" i="4"/>
  <c r="H10" i="4"/>
  <c r="G13" i="4"/>
  <c r="G10" i="4" s="1"/>
  <c r="P20" i="4"/>
  <c r="P22" i="4"/>
  <c r="M17" i="4"/>
  <c r="M18" i="4" s="1"/>
  <c r="M19" i="4" s="1"/>
  <c r="M21" i="4" s="1"/>
  <c r="I3" i="4"/>
  <c r="N17" i="4"/>
  <c r="N18" i="4" s="1"/>
  <c r="N19" i="4" s="1"/>
  <c r="N21" i="4" s="1"/>
  <c r="I19" i="4"/>
  <c r="I21" i="4" s="1"/>
  <c r="K19" i="4"/>
  <c r="K21" i="4" s="1"/>
  <c r="O19" i="3"/>
  <c r="H10" i="3"/>
  <c r="G13" i="3"/>
  <c r="G10" i="3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/>
  <c r="I4" i="1" s="1"/>
  <c r="H3" i="1"/>
  <c r="H4" i="1" s="1"/>
  <c r="G13" i="1" s="1"/>
  <c r="L20" i="4" l="1"/>
  <c r="L22" i="4"/>
  <c r="G10" i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G23" i="4" s="1"/>
  <c r="J4" i="4"/>
  <c r="J10" i="4" s="1"/>
  <c r="K3" i="4"/>
  <c r="H11" i="4"/>
  <c r="H14" i="4" s="1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M3" i="3"/>
  <c r="L4" i="3"/>
  <c r="L10" i="3" s="1"/>
  <c r="K11" i="3" s="1"/>
  <c r="K14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M11" i="3"/>
  <c r="M14" i="3" s="1"/>
  <c r="O4" i="3"/>
  <c r="O10" i="3" s="1"/>
  <c r="N11" i="3" s="1"/>
  <c r="N14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<sst xmlns="http://schemas.openxmlformats.org/spreadsheetml/2006/main" count="157" uniqueCount="23">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</sst>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NumberFormat="1" applyBorder="1"/>
    <xf numFmtId="0" fontId="0" fillId="3" borderId="1" xfId="0" applyFill="1" applyBorder="1"/>
    <xf numFmtId="164" fontId="0" fillId="3" borderId="1" xfId="0" applyNumberFormat="1" applyFill="1" applyBorder="1"/>
    <xf numFmtId="0" fontId="0" fillId="2" borderId="1" xfId="0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165" fontId="0" fillId="3" borderId="1" xfId="0" applyNumberFormat="1" applyFill="1" applyBorder="1"/>
    <xf numFmtId="0" fontId="0" fillId="3" borderId="0" xfId="0" applyFill="1"/>
    <xf numFmtId="0" fontId="0" fillId="0" borderId="0" xfId="0" applyBorder="1"/>
    <xf numFmtId="164" fontId="0" fillId="0" borderId="1" xfId="0" applyNumberFormat="1" applyFill="1" applyBorder="1"/>
    <xf numFmtId="0" fontId="0" fillId="4" borderId="1" xfId="0" applyNumberFormat="1" applyFill="1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0" fillId="7" borderId="1" xfId="0" applyNumberFormat="1" applyFill="1" applyBorder="1"/>
    <xf numFmtId="0" fontId="0" fillId="6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8" borderId="1" xfId="0" applyFill="1" applyBorder="1"/>
    <xf numFmtId="1" fontId="0" fillId="5" borderId="1" xfId="0" applyNumberFormat="1" applyFill="1" applyBorder="1"/>
    <xf numFmtId="0" fontId="0" fillId="8" borderId="1" xfId="0" applyNumberFormat="1" applyFill="1" applyBorder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92736"/>
        <c:axId val="209031936"/>
      </c:scatterChart>
      <c:valAx>
        <c:axId val="17229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31936"/>
        <c:crosses val="autoZero"/>
        <c:crossBetween val="midCat"/>
      </c:valAx>
      <c:valAx>
        <c:axId val="2090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29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/>
            </a:pPr>
            <a:endParaRPr lang="ru-RU"/>
          </a:p>
        </c:rich>
      </c:tx>
      <c:layout>
        <c:manualLayout>
          <c:xMode val="edge"/>
          <c:yMode val="edge"/>
          <c:x val="0.6159582239720035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6512"/>
        <c:axId val="209058048"/>
      </c:scatterChart>
      <c:valAx>
        <c:axId val="20905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58048"/>
        <c:crosses val="autoZero"/>
        <c:crossBetween val="midCat"/>
      </c:valAx>
      <c:valAx>
        <c:axId val="20905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5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/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66176"/>
        <c:axId val="134246400"/>
      </c:scatterChart>
      <c:valAx>
        <c:axId val="1252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46400"/>
        <c:crosses val="autoZero"/>
        <c:crossBetween val="midCat"/>
      </c:valAx>
      <c:valAx>
        <c:axId val="1342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63808"/>
        <c:axId val="155065344"/>
      </c:scatterChart>
      <c:valAx>
        <c:axId val="15506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065344"/>
        <c:crosses val="autoZero"/>
        <c:crossBetween val="midCat"/>
      </c:valAx>
      <c:valAx>
        <c:axId val="1550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06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4032"/>
        <c:axId val="218205568"/>
      </c:scatterChart>
      <c:valAx>
        <c:axId val="21820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05568"/>
        <c:crosses val="autoZero"/>
        <c:crossBetween val="midCat"/>
      </c:valAx>
      <c:valAx>
        <c:axId val="2182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0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59234815565066"/>
          <c:y val="5.3949900932547402E-2"/>
          <c:w val="0.8244767536837978"/>
          <c:h val="0.8462505703856816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5616"/>
        <c:axId val="208737408"/>
      </c:scatterChart>
      <c:valAx>
        <c:axId val="20873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37408"/>
        <c:crosses val="autoZero"/>
        <c:crossBetween val="midCat"/>
      </c:valAx>
      <c:valAx>
        <c:axId val="2087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3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61984"/>
        <c:axId val="208763520"/>
      </c:scatterChart>
      <c:valAx>
        <c:axId val="20876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63520"/>
        <c:crosses val="autoZero"/>
        <c:crossBetween val="midCat"/>
      </c:valAx>
      <c:valAx>
        <c:axId val="2087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6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00704"/>
        <c:axId val="210321408"/>
      </c:scatterChart>
      <c:valAx>
        <c:axId val="20900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321408"/>
        <c:crosses val="autoZero"/>
        <c:crossBetween val="midCat"/>
      </c:valAx>
      <c:valAx>
        <c:axId val="2103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0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31904"/>
        <c:axId val="218107904"/>
      </c:scatterChart>
      <c:valAx>
        <c:axId val="21033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07904"/>
        <c:crosses val="autoZero"/>
        <c:crossBetween val="midCat"/>
      </c:valAx>
      <c:valAx>
        <c:axId val="2181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3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2480"/>
        <c:axId val="218134016"/>
      </c:scatterChart>
      <c:valAx>
        <c:axId val="2181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34016"/>
        <c:crosses val="autoZero"/>
        <c:crossBetween val="midCat"/>
      </c:valAx>
      <c:valAx>
        <c:axId val="21813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3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40512"/>
        <c:axId val="218242048"/>
      </c:scatterChart>
      <c:valAx>
        <c:axId val="21824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42048"/>
        <c:crosses val="autoZero"/>
        <c:crossBetween val="midCat"/>
      </c:valAx>
      <c:valAx>
        <c:axId val="2182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4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50240"/>
        <c:axId val="218260224"/>
      </c:scatterChart>
      <c:valAx>
        <c:axId val="21825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60224"/>
        <c:crosses val="autoZero"/>
        <c:crossBetween val="midCat"/>
      </c:valAx>
      <c:valAx>
        <c:axId val="2182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5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372703412073493E-2"/>
          <c:y val="7.1111111111111111E-2"/>
          <c:w val="0.85550918635170603"/>
          <c:h val="0.848007699037620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0512"/>
        <c:axId val="219282048"/>
      </c:scatterChart>
      <c:valAx>
        <c:axId val="21928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82048"/>
        <c:crosses val="autoZero"/>
        <c:crossBetween val="midCat"/>
      </c:valAx>
      <c:valAx>
        <c:axId val="21928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8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63264"/>
        <c:axId val="218071424"/>
      </c:scatterChart>
      <c:valAx>
        <c:axId val="21916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071424"/>
        <c:crosses val="autoZero"/>
        <c:crossBetween val="midCat"/>
      </c:valAx>
      <c:valAx>
        <c:axId val="21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16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01920"/>
        <c:axId val="219203456"/>
      </c:scatterChart>
      <c:valAx>
        <c:axId val="2192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03456"/>
        <c:crosses val="autoZero"/>
        <c:crossBetween val="midCat"/>
      </c:valAx>
      <c:valAx>
        <c:axId val="21920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3904"/>
        <c:axId val="219565440"/>
      </c:scatterChart>
      <c:valAx>
        <c:axId val="21956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65440"/>
        <c:crosses val="autoZero"/>
        <c:crossBetween val="midCat"/>
      </c:valAx>
      <c:valAx>
        <c:axId val="2195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6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372703412073493E-2"/>
          <c:y val="6.6666666666666666E-2"/>
          <c:w val="0.85550918635170603"/>
          <c:h val="0.848007699037620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81856"/>
        <c:axId val="219883392"/>
      </c:scatterChart>
      <c:valAx>
        <c:axId val="21988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83392"/>
        <c:crosses val="autoZero"/>
        <c:crossBetween val="midCat"/>
      </c:valAx>
      <c:valAx>
        <c:axId val="2198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8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3937007874015"/>
          <c:y val="5.7777777777777775E-2"/>
          <c:w val="0.84284251968503932"/>
          <c:h val="0.848007699037620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50912"/>
        <c:axId val="219352448"/>
      </c:scatterChart>
      <c:valAx>
        <c:axId val="21935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2448"/>
        <c:crosses val="autoZero"/>
        <c:crossBetween val="midCat"/>
      </c:valAx>
      <c:valAx>
        <c:axId val="219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77024"/>
        <c:axId val="219399296"/>
      </c:scatterChart>
      <c:valAx>
        <c:axId val="21937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99296"/>
        <c:crosses val="autoZero"/>
        <c:crossBetween val="midCat"/>
      </c:valAx>
      <c:valAx>
        <c:axId val="21939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7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20480"/>
        <c:axId val="219622016"/>
      </c:scatterChart>
      <c:valAx>
        <c:axId val="21962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22016"/>
        <c:crosses val="autoZero"/>
        <c:crossBetween val="midCat"/>
      </c:valAx>
      <c:valAx>
        <c:axId val="21962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2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3968"/>
        <c:axId val="219845760"/>
      </c:scatterChart>
      <c:valAx>
        <c:axId val="21984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45760"/>
        <c:crosses val="autoZero"/>
        <c:crossBetween val="midCat"/>
      </c:valAx>
      <c:valAx>
        <c:axId val="21984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4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Var_p105!$G$10:$Q$10</c:f>
              <c:numCache>
                <c:formatCode>0.000</c:formatCode>
                <c:ptCount val="11"/>
                <c:pt idx="0">
                  <c:v>0.45871325188521439</c:v>
                </c:pt>
                <c:pt idx="1">
                  <c:v>0.45871325029802479</c:v>
                </c:pt>
                <c:pt idx="2">
                  <c:v>0.4587131627732085</c:v>
                </c:pt>
                <c:pt idx="3">
                  <c:v>0.45871308706583735</c:v>
                </c:pt>
                <c:pt idx="4">
                  <c:v>0.45871302529429708</c:v>
                </c:pt>
                <c:pt idx="5">
                  <c:v>0.45871297884603301</c:v>
                </c:pt>
                <c:pt idx="6">
                  <c:v>0.45871294798790124</c:v>
                </c:pt>
                <c:pt idx="7">
                  <c:v>0.45871293147509157</c:v>
                </c:pt>
                <c:pt idx="8">
                  <c:v>0.45871292629668664</c:v>
                </c:pt>
                <c:pt idx="9">
                  <c:v>0.45871292781061412</c:v>
                </c:pt>
                <c:pt idx="10">
                  <c:v>0.45871293063657254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51552"/>
        <c:axId val="219753088"/>
      </c:scatterChart>
      <c:valAx>
        <c:axId val="2197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53088"/>
        <c:crosses val="autoZero"/>
        <c:crossBetween val="midCat"/>
      </c:valAx>
      <c:valAx>
        <c:axId val="2197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5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Var_p105!$G$6:$Q$6</c:f>
              <c:numCache>
                <c:formatCode>General</c:formatCode>
                <c:ptCount val="11"/>
                <c:pt idx="0">
                  <c:v>104794.74978551247</c:v>
                </c:pt>
                <c:pt idx="1">
                  <c:v>104745.43830689328</c:v>
                </c:pt>
                <c:pt idx="2">
                  <c:v>104681.00910569319</c:v>
                </c:pt>
                <c:pt idx="3">
                  <c:v>104595.52320359333</c:v>
                </c:pt>
                <c:pt idx="4">
                  <c:v>104480.11692096824</c:v>
                </c:pt>
                <c:pt idx="5">
                  <c:v>104321.21850371145</c:v>
                </c:pt>
                <c:pt idx="6">
                  <c:v>104097.42556078946</c:v>
                </c:pt>
                <c:pt idx="7">
                  <c:v>103773.80166373804</c:v>
                </c:pt>
                <c:pt idx="8">
                  <c:v>103290.91519248637</c:v>
                </c:pt>
                <c:pt idx="9">
                  <c:v>102542.39465015213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94048"/>
        <c:axId val="219799936"/>
      </c:scatterChart>
      <c:valAx>
        <c:axId val="21979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99936"/>
        <c:crosses val="autoZero"/>
        <c:crossBetween val="midCat"/>
      </c:valAx>
      <c:valAx>
        <c:axId val="2197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9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Var_p105!$G$5:$Q$5</c:f>
              <c:numCache>
                <c:formatCode>General</c:formatCode>
                <c:ptCount val="11"/>
                <c:pt idx="0">
                  <c:v>17.992941738830783</c:v>
                </c:pt>
                <c:pt idx="1">
                  <c:v>19.943611835560116</c:v>
                </c:pt>
                <c:pt idx="2">
                  <c:v>22.231087234677332</c:v>
                </c:pt>
                <c:pt idx="3">
                  <c:v>24.938291851457294</c:v>
                </c:pt>
                <c:pt idx="4">
                  <c:v>28.175705630478856</c:v>
                </c:pt>
                <c:pt idx="5">
                  <c:v>32.093403340126166</c:v>
                </c:pt>
                <c:pt idx="6">
                  <c:v>36.899929587958745</c:v>
                </c:pt>
                <c:pt idx="7">
                  <c:v>42.893093576841267</c:v>
                </c:pt>
                <c:pt idx="8">
                  <c:v>50.512767871552377</c:v>
                </c:pt>
                <c:pt idx="9">
                  <c:v>60.437481163492698</c:v>
                </c:pt>
                <c:pt idx="10">
                  <c:v>73.777617309983839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05728"/>
        <c:axId val="219707264"/>
      </c:scatterChart>
      <c:valAx>
        <c:axId val="21970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07264"/>
        <c:crosses val="autoZero"/>
        <c:crossBetween val="midCat"/>
      </c:valAx>
      <c:valAx>
        <c:axId val="2197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0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349250</xdr:colOff>
      <xdr:row>4</xdr:row>
      <xdr:rowOff>28575</xdr:rowOff>
    </xdr:from>
    <xdr:to>
      <xdr:col>25</xdr:col>
      <xdr:colOff>50800</xdr:colOff>
      <xdr:row>19</xdr:row>
      <xdr:rowOff>117475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254000</xdr:colOff>
      <xdr:row>4</xdr:row>
      <xdr:rowOff>12700</xdr:rowOff>
    </xdr:from>
    <xdr:to>
      <xdr:col>32</xdr:col>
      <xdr:colOff>558800</xdr:colOff>
      <xdr:row>19</xdr:row>
      <xdr:rowOff>101600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174625</xdr:colOff>
      <xdr:row>19</xdr:row>
      <xdr:rowOff>152400</xdr:rowOff>
    </xdr:from>
    <xdr:to>
      <xdr:col>7</xdr:col>
      <xdr:colOff>479425</xdr:colOff>
      <xdr:row>35</xdr:row>
      <xdr:rowOff>50800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377825</xdr:colOff>
      <xdr:row>20</xdr:row>
      <xdr:rowOff>155575</xdr:rowOff>
    </xdr:from>
    <xdr:to>
      <xdr:col>17</xdr:col>
      <xdr:colOff>79375</xdr:colOff>
      <xdr:row>36</xdr:row>
      <xdr:rowOff>53975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217714</xdr:colOff>
      <xdr:row>1</xdr:row>
      <xdr:rowOff>24492</xdr:rowOff>
    </xdr:from>
    <xdr:to>
      <xdr:col>24</xdr:col>
      <xdr:colOff>522514</xdr:colOff>
      <xdr:row>15</xdr:row>
      <xdr:rowOff>182335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285750</xdr:colOff>
      <xdr:row>1</xdr:row>
      <xdr:rowOff>48986</xdr:rowOff>
    </xdr:from>
    <xdr:to>
      <xdr:col>32</xdr:col>
      <xdr:colOff>590550</xdr:colOff>
      <xdr:row>16</xdr:row>
      <xdr:rowOff>16329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283028</xdr:colOff>
      <xdr:row>23</xdr:row>
      <xdr:rowOff>138793</xdr:rowOff>
    </xdr:from>
    <xdr:to>
      <xdr:col>7</xdr:col>
      <xdr:colOff>587828</xdr:colOff>
      <xdr:row>38</xdr:row>
      <xdr:rowOff>100693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527957</xdr:colOff>
      <xdr:row>23</xdr:row>
      <xdr:rowOff>179615</xdr:rowOff>
    </xdr:from>
    <xdr:to>
      <xdr:col>16</xdr:col>
      <xdr:colOff>220435</xdr:colOff>
      <xdr:row>38</xdr:row>
      <xdr:rowOff>146958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326572</xdr:colOff>
      <xdr:row>0</xdr:row>
      <xdr:rowOff>122465</xdr:rowOff>
    </xdr:from>
    <xdr:to>
      <xdr:col>25</xdr:col>
      <xdr:colOff>19050</xdr:colOff>
      <xdr:row>15</xdr:row>
      <xdr:rowOff>84365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394607</xdr:colOff>
      <xdr:row>0</xdr:row>
      <xdr:rowOff>160565</xdr:rowOff>
    </xdr:from>
    <xdr:to>
      <xdr:col>33</xdr:col>
      <xdr:colOff>87086</xdr:colOff>
      <xdr:row>15</xdr:row>
      <xdr:rowOff>127908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487136</xdr:colOff>
      <xdr:row>20</xdr:row>
      <xdr:rowOff>97973</xdr:rowOff>
    </xdr:from>
    <xdr:to>
      <xdr:col>8</xdr:col>
      <xdr:colOff>179615</xdr:colOff>
      <xdr:row>35</xdr:row>
      <xdr:rowOff>65316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81642</xdr:colOff>
      <xdr:row>20</xdr:row>
      <xdr:rowOff>73478</xdr:rowOff>
    </xdr:from>
    <xdr:to>
      <xdr:col>16</xdr:col>
      <xdr:colOff>386442</xdr:colOff>
      <xdr:row>35</xdr:row>
      <xdr:rowOff>35378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518160</xdr:colOff>
      <xdr:row>1</xdr:row>
      <xdr:rowOff>22860</xdr:rowOff>
    </xdr:from>
    <xdr:to>
      <xdr:col>25</xdr:col>
      <xdr:colOff>213360</xdr:colOff>
      <xdr:row>16</xdr:row>
      <xdr:rowOff>22860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495300</xdr:colOff>
      <xdr:row>1</xdr:row>
      <xdr:rowOff>3810</xdr:rowOff>
    </xdr:from>
    <xdr:to>
      <xdr:col>33</xdr:col>
      <xdr:colOff>190500</xdr:colOff>
      <xdr:row>16</xdr:row>
      <xdr:rowOff>3810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537210</xdr:colOff>
      <xdr:row>24</xdr:row>
      <xdr:rowOff>45720</xdr:rowOff>
    </xdr:from>
    <xdr:to>
      <xdr:col>8</xdr:col>
      <xdr:colOff>232410</xdr:colOff>
      <xdr:row>39</xdr:row>
      <xdr:rowOff>45720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548640</xdr:colOff>
      <xdr:row>24</xdr:row>
      <xdr:rowOff>80010</xdr:rowOff>
    </xdr:from>
    <xdr:to>
      <xdr:col>16</xdr:col>
      <xdr:colOff>243840</xdr:colOff>
      <xdr:row>39</xdr:row>
      <xdr:rowOff>80010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1</xdr:row>
      <xdr:rowOff>22860</xdr:rowOff>
    </xdr:from>
    <xdr:to>
      <xdr:col>24</xdr:col>
      <xdr:colOff>590550</xdr:colOff>
      <xdr:row>16</xdr:row>
      <xdr:rowOff>22860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422910</xdr:colOff>
      <xdr:row>1</xdr:row>
      <xdr:rowOff>45720</xdr:rowOff>
    </xdr:from>
    <xdr:to>
      <xdr:col>33</xdr:col>
      <xdr:colOff>118110</xdr:colOff>
      <xdr:row>16</xdr:row>
      <xdr:rowOff>45720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403860</xdr:colOff>
      <xdr:row>20</xdr:row>
      <xdr:rowOff>102870</xdr:rowOff>
    </xdr:from>
    <xdr:to>
      <xdr:col>8</xdr:col>
      <xdr:colOff>99060</xdr:colOff>
      <xdr:row>35</xdr:row>
      <xdr:rowOff>102870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533400</xdr:colOff>
      <xdr:row>20</xdr:row>
      <xdr:rowOff>72390</xdr:rowOff>
    </xdr:from>
    <xdr:to>
      <xdr:col>16</xdr:col>
      <xdr:colOff>228600</xdr:colOff>
      <xdr:row>35</xdr:row>
      <xdr:rowOff>72390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234950</xdr:colOff>
      <xdr:row>0</xdr:row>
      <xdr:rowOff>187325</xdr:rowOff>
    </xdr:from>
    <xdr:to>
      <xdr:col>24</xdr:col>
      <xdr:colOff>539750</xdr:colOff>
      <xdr:row>16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285750</xdr:colOff>
      <xdr:row>1</xdr:row>
      <xdr:rowOff>31750</xdr:rowOff>
    </xdr:from>
    <xdr:to>
      <xdr:col>32</xdr:col>
      <xdr:colOff>590550</xdr:colOff>
      <xdr:row>16</xdr:row>
      <xdr:rowOff>120650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23</xdr:row>
      <xdr:rowOff>123825</xdr:rowOff>
    </xdr:from>
    <xdr:to>
      <xdr:col>8</xdr:col>
      <xdr:colOff>19050</xdr:colOff>
      <xdr:row>39</xdr:row>
      <xdr:rowOff>22225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346075</xdr:colOff>
      <xdr:row>23</xdr:row>
      <xdr:rowOff>149225</xdr:rowOff>
    </xdr:from>
    <xdr:to>
      <xdr:col>16</xdr:col>
      <xdr:colOff>47625</xdr:colOff>
      <xdr:row>39</xdr:row>
      <xdr:rowOff>34925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55"/>
  <sheetViews>
    <sheetView zoomScale="60" zoomScaleNormal="60" workbookViewId="0">
      <selection activeCell="AD25" sqref="AD25"/>
    </sheetView>
  </sheetViews>
  <sheetFormatPr defaultRowHeight="15" x14ac:dyDescent="0.25"/>
  <sheetData>
    <row r="1" spans="1:23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17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17">
        <v>0.04</v>
      </c>
      <c r="R3" s="1"/>
      <c r="S3" s="1"/>
      <c r="T3" s="3"/>
      <c r="U3" s="3"/>
      <c r="V3" s="3"/>
      <c r="W3" s="3"/>
    </row>
    <row r="4" spans="1:23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25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25">
      <c r="A6" s="1"/>
      <c r="B6" s="19" t="s">
        <v>7</v>
      </c>
      <c r="C6" s="19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25">
      <c r="A7" s="1"/>
      <c r="B7" s="19" t="s">
        <v>3</v>
      </c>
      <c r="C7" s="19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25">
      <c r="A8" s="1"/>
      <c r="B8" s="19" t="s">
        <v>10</v>
      </c>
      <c r="C8" s="19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25">
      <c r="A10" s="1"/>
      <c r="B10" s="18" t="s">
        <v>11</v>
      </c>
      <c r="C10" s="18">
        <v>216000</v>
      </c>
      <c r="D10" s="1"/>
      <c r="E10" s="1"/>
      <c r="F10" s="2" t="s">
        <v>12</v>
      </c>
      <c r="G10" s="4">
        <f>G4*G7*G13</f>
        <v>2.5223435708228985</v>
      </c>
      <c r="H10" s="4">
        <f t="shared" ref="H10:Q10" si="3">H4*H7*H13</f>
        <v>2.5223496026086849</v>
      </c>
      <c r="I10" s="4">
        <f t="shared" si="3"/>
        <v>2.5226860317881932</v>
      </c>
      <c r="J10" s="4">
        <f t="shared" si="3"/>
        <v>2.5230909301691113</v>
      </c>
      <c r="K10" s="4">
        <f t="shared" si="3"/>
        <v>2.5235254004713945</v>
      </c>
      <c r="L10" s="4">
        <f t="shared" si="3"/>
        <v>2.5239481809982309</v>
      </c>
      <c r="M10" s="4">
        <f t="shared" si="3"/>
        <v>2.5243195059864147</v>
      </c>
      <c r="N10" s="5">
        <f t="shared" si="3"/>
        <v>2.5246069034723604</v>
      </c>
      <c r="O10" s="4">
        <f t="shared" si="3"/>
        <v>2.5247926184498874</v>
      </c>
      <c r="P10" s="4">
        <f t="shared" si="3"/>
        <v>2.5248809916491219</v>
      </c>
      <c r="Q10" s="4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25">
      <c r="A11" s="1"/>
      <c r="B11" s="18" t="s">
        <v>13</v>
      </c>
      <c r="C11" s="18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18">
        <v>0</v>
      </c>
      <c r="R11" s="1"/>
      <c r="S11" s="1"/>
      <c r="T11" s="3"/>
      <c r="U11" s="3"/>
      <c r="V11" s="3"/>
      <c r="W11" s="3"/>
    </row>
    <row r="12" spans="1:23" x14ac:dyDescent="0.25">
      <c r="A12" s="1"/>
      <c r="B12" s="18" t="s">
        <v>8</v>
      </c>
      <c r="C12" s="18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25">
      <c r="A13" s="1"/>
      <c r="B13" s="1"/>
      <c r="C13" s="1"/>
      <c r="D13" s="1"/>
      <c r="E13" s="1"/>
      <c r="F13" s="2" t="s">
        <v>6</v>
      </c>
      <c r="G13" s="18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25">
      <c r="A14" s="1"/>
      <c r="B14" s="20" t="s">
        <v>15</v>
      </c>
      <c r="C14" s="20">
        <v>2000</v>
      </c>
      <c r="D14" s="2">
        <v>43</v>
      </c>
      <c r="E14" s="1"/>
      <c r="F14" s="2" t="s">
        <v>8</v>
      </c>
      <c r="G14" s="18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18">
        <f t="shared" si="6"/>
        <v>101325</v>
      </c>
      <c r="R14" s="1"/>
      <c r="S14" s="1"/>
      <c r="T14" s="3"/>
      <c r="U14" s="3"/>
      <c r="V14" s="3"/>
      <c r="W14" s="3"/>
    </row>
    <row r="15" spans="1:23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25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T30"/>
  <sheetViews>
    <sheetView zoomScale="70" zoomScaleNormal="70" workbookViewId="0">
      <selection activeCell="T24" sqref="T24"/>
    </sheetView>
  </sheetViews>
  <sheetFormatPr defaultRowHeight="15" x14ac:dyDescent="0.25"/>
  <sheetData>
    <row r="1" spans="2:17" x14ac:dyDescent="0.25">
      <c r="F1" s="7" t="s">
        <v>0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</v>
      </c>
      <c r="G2" s="8">
        <v>0</v>
      </c>
      <c r="H2" s="8">
        <f>G2+$C$4</f>
        <v>0.01</v>
      </c>
      <c r="I2" s="8">
        <f t="shared" ref="I2:Q2" si="0">H2+$C$4</f>
        <v>0.02</v>
      </c>
      <c r="J2" s="8">
        <f t="shared" si="0"/>
        <v>0.03</v>
      </c>
      <c r="K2" s="8">
        <f t="shared" si="0"/>
        <v>0.04</v>
      </c>
      <c r="L2" s="8">
        <f t="shared" si="0"/>
        <v>0.05</v>
      </c>
      <c r="M2" s="8">
        <f t="shared" si="0"/>
        <v>6.0000000000000005E-2</v>
      </c>
      <c r="N2" s="8">
        <f t="shared" si="0"/>
        <v>7.0000000000000007E-2</v>
      </c>
      <c r="O2" s="8">
        <f t="shared" si="0"/>
        <v>0.08</v>
      </c>
      <c r="P2" s="8">
        <f t="shared" si="0"/>
        <v>0.09</v>
      </c>
      <c r="Q2" s="8">
        <f t="shared" si="0"/>
        <v>9.9999999999999992E-2</v>
      </c>
    </row>
    <row r="3" spans="2:17" x14ac:dyDescent="0.25">
      <c r="B3" s="7" t="s">
        <v>2</v>
      </c>
      <c r="C3" s="7">
        <v>0.1</v>
      </c>
      <c r="F3" s="7" t="s">
        <v>3</v>
      </c>
      <c r="G3" s="24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24">
        <v>0.04</v>
      </c>
    </row>
    <row r="4" spans="2:17" x14ac:dyDescent="0.25">
      <c r="B4" s="7" t="s">
        <v>4</v>
      </c>
      <c r="C4" s="7">
        <f>C3/10</f>
        <v>0.01</v>
      </c>
      <c r="F4" s="7" t="s">
        <v>5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F5" s="7" t="s">
        <v>6</v>
      </c>
      <c r="G5" s="7">
        <v>44.061773325006357</v>
      </c>
      <c r="H5" s="7">
        <v>48.92314001739534</v>
      </c>
      <c r="I5" s="7">
        <v>54.578157622204209</v>
      </c>
      <c r="J5" s="7">
        <v>61.3676049944319</v>
      </c>
      <c r="K5" s="7">
        <v>69.628313490775255</v>
      </c>
      <c r="L5" s="7">
        <v>79.843213821267071</v>
      </c>
      <c r="M5" s="7">
        <v>92.738828977469382</v>
      </c>
      <c r="N5" s="7">
        <v>109.48812343151208</v>
      </c>
      <c r="O5" s="7">
        <v>132.21037500022013</v>
      </c>
      <c r="P5" s="7">
        <v>165.6106818341492</v>
      </c>
      <c r="Q5" s="7">
        <v>423.94681161813469</v>
      </c>
    </row>
    <row r="6" spans="2:17" x14ac:dyDescent="0.25">
      <c r="B6" s="21" t="s">
        <v>7</v>
      </c>
      <c r="C6" s="21">
        <v>1.4</v>
      </c>
      <c r="F6" s="7" t="s">
        <v>8</v>
      </c>
      <c r="G6" s="7">
        <v>350867.40735553997</v>
      </c>
      <c r="H6" s="7">
        <v>349857.56343376642</v>
      </c>
      <c r="I6" s="7">
        <v>348550.28172794066</v>
      </c>
      <c r="J6" s="7">
        <v>346791.64149142883</v>
      </c>
      <c r="K6" s="7">
        <v>344375.92068949185</v>
      </c>
      <c r="L6" s="7">
        <v>340975.03234884789</v>
      </c>
      <c r="M6" s="7">
        <v>336041.10751108819</v>
      </c>
      <c r="N6" s="7">
        <v>328598.86826103256</v>
      </c>
      <c r="O6" s="7">
        <v>316733.17818914173</v>
      </c>
      <c r="P6" s="7">
        <v>295951.32816207642</v>
      </c>
      <c r="Q6" s="7">
        <v>101325</v>
      </c>
    </row>
    <row r="7" spans="2:17" x14ac:dyDescent="0.25">
      <c r="B7" s="21" t="s">
        <v>3</v>
      </c>
      <c r="C7" s="21">
        <v>286.97199999999998</v>
      </c>
      <c r="F7" s="7" t="s">
        <v>9</v>
      </c>
      <c r="G7" s="7">
        <v>4.2572469963409283</v>
      </c>
      <c r="H7" s="7">
        <v>4.2483227810016162</v>
      </c>
      <c r="I7" s="7">
        <v>4.2367501657323681</v>
      </c>
      <c r="J7" s="7">
        <v>4.2211434646644621</v>
      </c>
      <c r="K7" s="7">
        <v>4.1996416070064333</v>
      </c>
      <c r="L7" s="7">
        <v>4.1692580522743112</v>
      </c>
      <c r="M7" s="7">
        <v>4.124964723733342</v>
      </c>
      <c r="N7" s="7">
        <v>4.0577115891693332</v>
      </c>
      <c r="O7" s="7">
        <v>3.9494508936700159</v>
      </c>
      <c r="P7" s="7">
        <v>3.7568853104570774</v>
      </c>
      <c r="Q7" s="7">
        <v>1.7770717181957589</v>
      </c>
    </row>
    <row r="8" spans="2:17" x14ac:dyDescent="0.25">
      <c r="B8" s="21" t="s">
        <v>10</v>
      </c>
      <c r="C8" s="21">
        <v>1004.4</v>
      </c>
    </row>
    <row r="10" spans="2:17" x14ac:dyDescent="0.25">
      <c r="B10" s="22" t="s">
        <v>11</v>
      </c>
      <c r="C10" s="22">
        <v>355000</v>
      </c>
      <c r="F10" s="7" t="s">
        <v>12</v>
      </c>
      <c r="G10" s="8">
        <f t="shared" ref="G10:Q10" si="3">G4*G7*G13</f>
        <v>3.7714546252394219</v>
      </c>
      <c r="H10" s="8">
        <f t="shared" si="3"/>
        <v>3.7713528467869839</v>
      </c>
      <c r="I10" s="8">
        <f t="shared" si="3"/>
        <v>3.7658286654815862</v>
      </c>
      <c r="J10" s="8">
        <f t="shared" si="3"/>
        <v>3.7630111734824023</v>
      </c>
      <c r="K10" s="8">
        <f t="shared" si="3"/>
        <v>3.7627883031927376</v>
      </c>
      <c r="L10" s="8">
        <f t="shared" si="3"/>
        <v>3.7648969258226872</v>
      </c>
      <c r="M10" s="8">
        <f t="shared" si="3"/>
        <v>3.7688820355463615</v>
      </c>
      <c r="N10" s="8">
        <f t="shared" si="3"/>
        <v>3.7740639491554426</v>
      </c>
      <c r="O10" s="8">
        <f t="shared" si="3"/>
        <v>3.7795316548935967</v>
      </c>
      <c r="P10" s="8">
        <f t="shared" si="3"/>
        <v>3.7841929258987133</v>
      </c>
      <c r="Q10" s="8">
        <f t="shared" si="3"/>
        <v>3.7869207620637364</v>
      </c>
    </row>
    <row r="11" spans="2:17" x14ac:dyDescent="0.25">
      <c r="B11" s="22" t="s">
        <v>13</v>
      </c>
      <c r="C11" s="22">
        <v>288.16000000000003</v>
      </c>
      <c r="F11" s="7" t="s">
        <v>14</v>
      </c>
      <c r="G11" s="10">
        <v>0</v>
      </c>
      <c r="H11" s="10">
        <f>(H13)*(H10-I10)</f>
        <v>0.2702530020993773</v>
      </c>
      <c r="I11" s="10">
        <f t="shared" ref="I11:P11" si="4">(I13)*(I10-J10)</f>
        <v>0.15377138561156797</v>
      </c>
      <c r="J11" s="10">
        <f t="shared" si="4"/>
        <v>1.3676969374340967E-2</v>
      </c>
      <c r="K11" s="10">
        <f t="shared" si="4"/>
        <v>-0.14682046595177198</v>
      </c>
      <c r="L11" s="10">
        <f t="shared" si="4"/>
        <v>-0.31818684807089431</v>
      </c>
      <c r="M11" s="10">
        <f t="shared" si="4"/>
        <v>-0.48056987946180596</v>
      </c>
      <c r="N11" s="10">
        <f t="shared" si="4"/>
        <v>-0.59865505363936122</v>
      </c>
      <c r="O11" s="10">
        <f t="shared" si="4"/>
        <v>-0.61627318987104018</v>
      </c>
      <c r="P11" s="10">
        <f t="shared" si="4"/>
        <v>-0.45176063950558543</v>
      </c>
      <c r="Q11" s="22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7" t="s">
        <v>6</v>
      </c>
      <c r="G13" s="22">
        <f>(H4*H5*H7)/(G4*G7)</f>
        <v>44.060578259961211</v>
      </c>
      <c r="H13" s="11">
        <f t="shared" ref="H13:Q13" si="5">((G6-H6)/H7+G5*H5)^0.5</f>
        <v>48.921819751881337</v>
      </c>
      <c r="I13" s="11">
        <f t="shared" si="5"/>
        <v>54.577399210399946</v>
      </c>
      <c r="J13" s="11">
        <f t="shared" si="5"/>
        <v>61.367396232651991</v>
      </c>
      <c r="K13" s="11">
        <f t="shared" si="5"/>
        <v>69.62861152414051</v>
      </c>
      <c r="L13" s="11">
        <f t="shared" si="5"/>
        <v>79.843936587403633</v>
      </c>
      <c r="M13" s="11">
        <f t="shared" si="5"/>
        <v>92.739847808273154</v>
      </c>
      <c r="N13" s="11">
        <f t="shared" si="5"/>
        <v>109.48925972038053</v>
      </c>
      <c r="O13" s="11">
        <f t="shared" si="5"/>
        <v>132.21140525718582</v>
      </c>
      <c r="P13" s="11">
        <f t="shared" si="5"/>
        <v>165.61135353293929</v>
      </c>
      <c r="Q13" s="11">
        <f t="shared" si="5"/>
        <v>423.94684483506154</v>
      </c>
    </row>
    <row r="14" spans="2:17" x14ac:dyDescent="0.25">
      <c r="B14" s="23" t="s">
        <v>15</v>
      </c>
      <c r="C14" s="23">
        <v>2000</v>
      </c>
      <c r="D14">
        <v>2000</v>
      </c>
      <c r="F14" s="7" t="s">
        <v>8</v>
      </c>
      <c r="G14" s="25">
        <f>C10-(G7*G13^2)/2</f>
        <v>350867.62964500627</v>
      </c>
      <c r="H14" s="12">
        <f>H6+H11</f>
        <v>349857.83368676854</v>
      </c>
      <c r="I14" s="12">
        <f t="shared" ref="I14:Q14" si="6">I6+I11</f>
        <v>348550.43549932627</v>
      </c>
      <c r="J14" s="12">
        <f t="shared" si="6"/>
        <v>346791.65516839823</v>
      </c>
      <c r="K14" s="12">
        <f t="shared" si="6"/>
        <v>344375.77386902587</v>
      </c>
      <c r="L14" s="12">
        <f t="shared" si="6"/>
        <v>340974.71416199981</v>
      </c>
      <c r="M14" s="12">
        <f t="shared" si="6"/>
        <v>336040.62694120873</v>
      </c>
      <c r="N14" s="12">
        <f t="shared" si="6"/>
        <v>328598.26960597892</v>
      </c>
      <c r="O14" s="12">
        <f t="shared" si="6"/>
        <v>316732.56191595184</v>
      </c>
      <c r="P14" s="12">
        <f t="shared" si="6"/>
        <v>295950.87640143692</v>
      </c>
      <c r="Q14" s="25">
        <f t="shared" si="6"/>
        <v>101325</v>
      </c>
    </row>
    <row r="15" spans="2:17" x14ac:dyDescent="0.25">
      <c r="F15" s="7" t="s">
        <v>9</v>
      </c>
      <c r="G15" s="8">
        <f>G14/($C$7*G17)</f>
        <v>4.2572489163555369</v>
      </c>
      <c r="H15" s="8">
        <f t="shared" ref="H15:Q15" si="7">H14/($C$7*H17)</f>
        <v>4.2483251106646245</v>
      </c>
      <c r="I15" s="8">
        <f t="shared" si="7"/>
        <v>4.2367514258254602</v>
      </c>
      <c r="J15" s="8">
        <f t="shared" si="7"/>
        <v>4.2211434430728181</v>
      </c>
      <c r="K15" s="8">
        <f t="shared" si="7"/>
        <v>4.1996401201924733</v>
      </c>
      <c r="L15" s="8">
        <f t="shared" si="7"/>
        <v>4.1692550022111172</v>
      </c>
      <c r="M15" s="8">
        <f t="shared" si="7"/>
        <v>4.1249601915827077</v>
      </c>
      <c r="N15" s="8">
        <f t="shared" si="7"/>
        <v>4.0577059777546882</v>
      </c>
      <c r="O15" s="8">
        <f t="shared" si="7"/>
        <v>3.9494451257262524</v>
      </c>
      <c r="P15" s="8">
        <f t="shared" si="7"/>
        <v>3.7568810914511093</v>
      </c>
      <c r="Q15" s="8">
        <f t="shared" si="7"/>
        <v>1.7770718435956014</v>
      </c>
    </row>
    <row r="17" spans="6:20" x14ac:dyDescent="0.25">
      <c r="F17" s="7" t="s">
        <v>17</v>
      </c>
      <c r="G17" s="11">
        <f>$C$11-(G13^2)/(2*$C$8)</f>
        <v>287.19358494792806</v>
      </c>
      <c r="H17" s="11">
        <f t="shared" ref="H17:Q17" si="8">$C$11-(H13^2)/(2*$C$8)</f>
        <v>286.96857006778401</v>
      </c>
      <c r="I17" s="11">
        <f t="shared" si="8"/>
        <v>286.67717816379366</v>
      </c>
      <c r="J17" s="11">
        <f t="shared" si="8"/>
        <v>286.2852701511473</v>
      </c>
      <c r="K17" s="11">
        <f t="shared" si="8"/>
        <v>285.74654741996238</v>
      </c>
      <c r="L17" s="11">
        <f t="shared" si="8"/>
        <v>284.98643657418694</v>
      </c>
      <c r="M17" s="11">
        <f t="shared" si="8"/>
        <v>283.87849891900555</v>
      </c>
      <c r="N17" s="11">
        <f t="shared" si="8"/>
        <v>282.19230884402782</v>
      </c>
      <c r="O17" s="11">
        <f t="shared" si="8"/>
        <v>279.45835937869384</v>
      </c>
      <c r="P17" s="11">
        <f t="shared" si="8"/>
        <v>274.50651512394853</v>
      </c>
      <c r="Q17" s="11">
        <f t="shared" si="8"/>
        <v>198.68821224332748</v>
      </c>
    </row>
    <row r="18" spans="6:20" x14ac:dyDescent="0.25">
      <c r="F18" s="7" t="s">
        <v>18</v>
      </c>
      <c r="G18" s="13">
        <f>SQRT($C$6*$C$7*G17)</f>
        <v>339.68091563045976</v>
      </c>
      <c r="H18" s="13">
        <f t="shared" ref="H18:Q18" si="9">SQRT($C$6*$C$7*H17)</f>
        <v>339.54782032180526</v>
      </c>
      <c r="I18" s="13">
        <f t="shared" si="9"/>
        <v>339.37538573212447</v>
      </c>
      <c r="J18" s="13">
        <f t="shared" si="9"/>
        <v>339.14333129834802</v>
      </c>
      <c r="K18" s="13">
        <f t="shared" si="9"/>
        <v>338.82408634670884</v>
      </c>
      <c r="L18" s="13">
        <f t="shared" si="9"/>
        <v>338.37313538044742</v>
      </c>
      <c r="M18" s="13">
        <f t="shared" si="9"/>
        <v>337.71475068243433</v>
      </c>
      <c r="N18" s="13">
        <f t="shared" si="9"/>
        <v>336.71027271977266</v>
      </c>
      <c r="O18" s="13">
        <f t="shared" si="9"/>
        <v>335.0752363733726</v>
      </c>
      <c r="P18" s="13">
        <f t="shared" si="9"/>
        <v>332.09329580918921</v>
      </c>
      <c r="Q18" s="13">
        <f t="shared" si="9"/>
        <v>282.53342298115638</v>
      </c>
    </row>
    <row r="19" spans="6:20" x14ac:dyDescent="0.25">
      <c r="F19" s="7" t="s">
        <v>19</v>
      </c>
      <c r="G19" s="10">
        <f>G13/G18</f>
        <v>0.12971166831137165</v>
      </c>
      <c r="H19" s="10">
        <f t="shared" ref="H19:Q19" si="10">H13/H18</f>
        <v>0.14407932203928112</v>
      </c>
      <c r="I19" s="10">
        <f t="shared" si="10"/>
        <v>0.16081719978796263</v>
      </c>
      <c r="J19" s="10">
        <f t="shared" si="10"/>
        <v>0.18094826160289862</v>
      </c>
      <c r="K19" s="10">
        <f t="shared" si="10"/>
        <v>0.20550077261299415</v>
      </c>
      <c r="L19" s="10">
        <f t="shared" si="10"/>
        <v>0.23596417161673214</v>
      </c>
      <c r="M19" s="10">
        <f t="shared" si="10"/>
        <v>0.27461000036530792</v>
      </c>
      <c r="N19" s="10">
        <f t="shared" si="10"/>
        <v>0.32517350550662599</v>
      </c>
      <c r="O19" s="10">
        <f t="shared" si="10"/>
        <v>0.39457229572722985</v>
      </c>
      <c r="P19" s="10">
        <f t="shared" si="10"/>
        <v>0.4986892407129308</v>
      </c>
      <c r="Q19" s="10">
        <f t="shared" si="10"/>
        <v>1.5005192672844825</v>
      </c>
    </row>
    <row r="20" spans="6:20" x14ac:dyDescent="0.25">
      <c r="F20" s="7" t="s">
        <v>20</v>
      </c>
      <c r="G20" s="7">
        <f>1-((($C$6-1)/($C$6+1))*G21^2)</f>
        <v>0.99674452414442138</v>
      </c>
      <c r="H20" s="7">
        <f t="shared" ref="H20:Q20" si="11">1-((($C$6-1)/($C$6+1))*H21^2)</f>
        <v>0.9960137305399861</v>
      </c>
      <c r="I20" s="7">
        <f t="shared" si="11"/>
        <v>0.99508194862891708</v>
      </c>
      <c r="J20" s="7">
        <f t="shared" si="11"/>
        <v>0.99385401252850569</v>
      </c>
      <c r="K20" s="7">
        <f t="shared" si="11"/>
        <v>0.99221169552727795</v>
      </c>
      <c r="L20" s="7">
        <f t="shared" si="11"/>
        <v>0.98997999182261187</v>
      </c>
      <c r="M20" s="7">
        <f t="shared" si="11"/>
        <v>0.98689446363234257</v>
      </c>
      <c r="N20" s="7">
        <f t="shared" si="11"/>
        <v>0.98254396420898971</v>
      </c>
      <c r="O20" s="7">
        <f t="shared" si="11"/>
        <v>0.97625586199803871</v>
      </c>
      <c r="P20" s="7">
        <f t="shared" si="11"/>
        <v>0.96678322933129879</v>
      </c>
      <c r="Q20" s="7">
        <f t="shared" si="11"/>
        <v>0.91817152271581493</v>
      </c>
    </row>
    <row r="21" spans="6:20" x14ac:dyDescent="0.25">
      <c r="F21" s="7" t="s">
        <v>21</v>
      </c>
      <c r="G21" s="7">
        <f>SQRT(((($C$6+1)/2)*G19^2)/(1+2*G19^2))</f>
        <v>0.13975999117584367</v>
      </c>
      <c r="H21" s="7">
        <f>SQRT(((($C$6+1)/2)*H19^2)/(1+2*H19^2))</f>
        <v>0.15465321451584327</v>
      </c>
      <c r="I21" s="7">
        <f t="shared" ref="I21:Q21" si="12">SQRT(((($C$6+1)/2)*I19^2)/(1+2*I19^2))</f>
        <v>0.17177982485291377</v>
      </c>
      <c r="J21" s="7">
        <f t="shared" si="12"/>
        <v>0.19203105173113452</v>
      </c>
      <c r="K21" s="7">
        <f t="shared" si="12"/>
        <v>0.21617082790314809</v>
      </c>
      <c r="L21" s="7">
        <f t="shared" si="12"/>
        <v>0.24519390095255025</v>
      </c>
      <c r="M21" s="7">
        <f t="shared" si="12"/>
        <v>0.28041615182785834</v>
      </c>
      <c r="N21" s="7">
        <f t="shared" si="12"/>
        <v>0.32362974947625239</v>
      </c>
      <c r="O21" s="7">
        <f t="shared" si="12"/>
        <v>0.37744513245207906</v>
      </c>
      <c r="P21" s="7">
        <f t="shared" si="12"/>
        <v>0.44643098460143565</v>
      </c>
      <c r="Q21" s="7">
        <f t="shared" si="12"/>
        <v>0.70069313091046537</v>
      </c>
    </row>
    <row r="22" spans="6:20" x14ac:dyDescent="0.25">
      <c r="F22" s="7" t="s">
        <v>22</v>
      </c>
      <c r="G22" s="7">
        <f>(1-((($C$6-1)/($C$6+1))*G21^2))^($C$6/($C$6-1))</f>
        <v>0.98865212585154483</v>
      </c>
      <c r="H22" s="7">
        <f t="shared" ref="H22:Q22" si="13">(1-((($C$6-1)/($C$6+1))*H21^2))^($C$6/($C$6-1))</f>
        <v>0.98611743865169554</v>
      </c>
      <c r="I22" s="7">
        <f t="shared" si="13"/>
        <v>0.98289237927743911</v>
      </c>
      <c r="J22" s="7">
        <f t="shared" si="13"/>
        <v>0.97865379398838326</v>
      </c>
      <c r="K22" s="7">
        <f t="shared" si="13"/>
        <v>0.97300527931111802</v>
      </c>
      <c r="L22" s="7">
        <f t="shared" si="13"/>
        <v>0.96536702594853241</v>
      </c>
      <c r="M22" s="7">
        <f t="shared" si="13"/>
        <v>0.95487713534369834</v>
      </c>
      <c r="N22" s="7">
        <f t="shared" si="13"/>
        <v>0.94022538485456131</v>
      </c>
      <c r="O22" s="7">
        <f t="shared" si="13"/>
        <v>0.91933287638910044</v>
      </c>
      <c r="P22" s="7">
        <f t="shared" si="13"/>
        <v>0.88848863821322899</v>
      </c>
      <c r="Q22" s="7">
        <f t="shared" si="13"/>
        <v>0.74170868802605194</v>
      </c>
    </row>
    <row r="23" spans="6:20" x14ac:dyDescent="0.25">
      <c r="F23" s="7" t="s">
        <v>11</v>
      </c>
      <c r="G23" s="7">
        <f>G14/G22</f>
        <v>354894.93267694872</v>
      </c>
      <c r="H23" s="7">
        <f t="shared" ref="H23:Q23" si="14">H14/H22</f>
        <v>354783.13228607358</v>
      </c>
      <c r="I23" s="7">
        <f t="shared" si="14"/>
        <v>354617.09017986152</v>
      </c>
      <c r="J23" s="7">
        <f t="shared" si="14"/>
        <v>354355.80723096314</v>
      </c>
      <c r="K23" s="7">
        <f t="shared" si="14"/>
        <v>353930.01578865212</v>
      </c>
      <c r="L23" s="7">
        <f t="shared" si="14"/>
        <v>353207.33461656328</v>
      </c>
      <c r="M23" s="7">
        <f t="shared" si="14"/>
        <v>351920.27801592957</v>
      </c>
      <c r="N23" s="7">
        <f t="shared" si="14"/>
        <v>349488.82991157286</v>
      </c>
      <c r="O23" s="7">
        <f t="shared" si="14"/>
        <v>344524.35026580869</v>
      </c>
      <c r="P23" s="7">
        <f t="shared" si="14"/>
        <v>333094.72251282912</v>
      </c>
      <c r="Q23" s="7">
        <f t="shared" si="14"/>
        <v>136610.23746352698</v>
      </c>
    </row>
    <row r="26" spans="6:20" x14ac:dyDescent="0.25">
      <c r="S26" s="15"/>
      <c r="T26" s="15"/>
    </row>
    <row r="27" spans="6:20" x14ac:dyDescent="0.25">
      <c r="S27" s="15"/>
      <c r="T27" s="15"/>
    </row>
    <row r="30" spans="6:20" x14ac:dyDescent="0.25">
      <c r="J30" s="1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55"/>
  <sheetViews>
    <sheetView zoomScale="70" zoomScaleNormal="70" workbookViewId="0">
      <selection activeCell="AA22" sqref="AA22"/>
    </sheetView>
  </sheetViews>
  <sheetFormatPr defaultRowHeight="15" x14ac:dyDescent="0.25"/>
  <sheetData>
    <row r="1" spans="1:17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26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6">
        <v>0.04</v>
      </c>
    </row>
    <row r="4" spans="1:17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</row>
    <row r="5" spans="1:17" x14ac:dyDescent="0.25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25">
      <c r="A6" s="1"/>
      <c r="B6" s="19" t="s">
        <v>7</v>
      </c>
      <c r="C6" s="19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25">
      <c r="A7" s="1"/>
      <c r="B7" s="19" t="s">
        <v>3</v>
      </c>
      <c r="C7" s="19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25">
      <c r="A8" s="1"/>
      <c r="B8" s="19" t="s">
        <v>10</v>
      </c>
      <c r="C8" s="19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18" t="s">
        <v>11</v>
      </c>
      <c r="C10" s="18">
        <v>135000</v>
      </c>
      <c r="D10" s="1"/>
      <c r="E10" s="1"/>
      <c r="F10" s="2" t="s">
        <v>12</v>
      </c>
      <c r="G10" s="4">
        <f>G4*G7*G13</f>
        <v>1.3663165238514254</v>
      </c>
      <c r="H10" s="4">
        <f t="shared" ref="H10:Q10" si="3">H4*H7*H13</f>
        <v>1.3663197670643263</v>
      </c>
      <c r="I10" s="4">
        <f t="shared" si="3"/>
        <v>1.3665020425140293</v>
      </c>
      <c r="J10" s="4">
        <f t="shared" si="3"/>
        <v>1.3667666214711018</v>
      </c>
      <c r="K10" s="4">
        <f t="shared" si="3"/>
        <v>1.3670804272061059</v>
      </c>
      <c r="L10" s="4">
        <f t="shared" si="3"/>
        <v>1.3674069190133782</v>
      </c>
      <c r="M10" s="4">
        <f t="shared" si="3"/>
        <v>1.3677090959522973</v>
      </c>
      <c r="N10" s="5">
        <f t="shared" si="3"/>
        <v>1.3679543599839599</v>
      </c>
      <c r="O10" s="4">
        <f t="shared" si="3"/>
        <v>1.3681211846855306</v>
      </c>
      <c r="P10" s="4">
        <f t="shared" si="3"/>
        <v>1.3682064201253556</v>
      </c>
      <c r="Q10" s="4">
        <f t="shared" si="3"/>
        <v>1.3682298874393872</v>
      </c>
    </row>
    <row r="11" spans="1:17" x14ac:dyDescent="0.25">
      <c r="A11" s="1"/>
      <c r="B11" s="18" t="s">
        <v>13</v>
      </c>
      <c r="C11" s="18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18">
        <v>0</v>
      </c>
    </row>
    <row r="12" spans="1:17" x14ac:dyDescent="0.25">
      <c r="A12" s="1"/>
      <c r="B12" s="18" t="s">
        <v>8</v>
      </c>
      <c r="C12" s="18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2" t="s">
        <v>6</v>
      </c>
      <c r="G13" s="18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25">
      <c r="A14" s="1"/>
      <c r="B14" s="20" t="s">
        <v>15</v>
      </c>
      <c r="C14" s="20">
        <v>2000</v>
      </c>
      <c r="D14" s="2">
        <v>2000</v>
      </c>
      <c r="E14" s="1"/>
      <c r="F14" s="2" t="s">
        <v>8</v>
      </c>
      <c r="G14" s="18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18">
        <f t="shared" si="6"/>
        <v>101325</v>
      </c>
    </row>
    <row r="15" spans="1:17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25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Q30"/>
  <sheetViews>
    <sheetView zoomScale="50" zoomScaleNormal="50" workbookViewId="0">
      <selection activeCell="T25" sqref="T25"/>
    </sheetView>
  </sheetViews>
  <sheetFormatPr defaultRowHeight="15" x14ac:dyDescent="0.25"/>
  <sheetData>
    <row r="1" spans="2:17" x14ac:dyDescent="0.25">
      <c r="F1" s="7" t="s">
        <v>0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</v>
      </c>
      <c r="G2" s="8">
        <v>0</v>
      </c>
      <c r="H2" s="8">
        <f>G2+$C$4</f>
        <v>0.01</v>
      </c>
      <c r="I2" s="8">
        <f t="shared" ref="I2:Q2" si="0">H2+$C$4</f>
        <v>0.02</v>
      </c>
      <c r="J2" s="8">
        <f t="shared" si="0"/>
        <v>0.03</v>
      </c>
      <c r="K2" s="8">
        <f t="shared" si="0"/>
        <v>0.04</v>
      </c>
      <c r="L2" s="8">
        <f t="shared" si="0"/>
        <v>0.05</v>
      </c>
      <c r="M2" s="8">
        <f t="shared" si="0"/>
        <v>6.0000000000000005E-2</v>
      </c>
      <c r="N2" s="8">
        <f t="shared" si="0"/>
        <v>7.0000000000000007E-2</v>
      </c>
      <c r="O2" s="8">
        <f t="shared" si="0"/>
        <v>0.08</v>
      </c>
      <c r="P2" s="8">
        <f t="shared" si="0"/>
        <v>0.09</v>
      </c>
      <c r="Q2" s="8">
        <f t="shared" si="0"/>
        <v>9.9999999999999992E-2</v>
      </c>
    </row>
    <row r="3" spans="2:17" x14ac:dyDescent="0.25">
      <c r="B3" s="7" t="s">
        <v>2</v>
      </c>
      <c r="C3" s="7">
        <v>0.1</v>
      </c>
      <c r="F3" s="7" t="s">
        <v>3</v>
      </c>
      <c r="G3" s="9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9">
        <v>0.04</v>
      </c>
    </row>
    <row r="4" spans="2:17" x14ac:dyDescent="0.25">
      <c r="B4" s="7" t="s">
        <v>4</v>
      </c>
      <c r="C4" s="7">
        <f>C3/10</f>
        <v>0.01</v>
      </c>
      <c r="F4" s="7" t="s">
        <v>5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F5" s="7" t="s">
        <v>6</v>
      </c>
      <c r="G5" s="7">
        <v>42.000601074920588</v>
      </c>
      <c r="H5" s="7">
        <v>46.626761446180375</v>
      </c>
      <c r="I5" s="7">
        <v>52.082065218442388</v>
      </c>
      <c r="J5" s="7">
        <v>58.586963340577647</v>
      </c>
      <c r="K5" s="7">
        <v>66.446388530669395</v>
      </c>
      <c r="L5" s="7">
        <v>76.096687409842389</v>
      </c>
      <c r="M5" s="7">
        <v>88.191114129928906</v>
      </c>
      <c r="N5" s="7">
        <v>103.77219350930196</v>
      </c>
      <c r="O5" s="7">
        <v>124.67536642759829</v>
      </c>
      <c r="P5" s="7">
        <v>154.73849371398734</v>
      </c>
      <c r="Q5" s="7">
        <v>205.8782124382524</v>
      </c>
    </row>
    <row r="6" spans="2:17" x14ac:dyDescent="0.25">
      <c r="B6" s="21" t="s">
        <v>7</v>
      </c>
      <c r="C6" s="21">
        <v>1.4</v>
      </c>
      <c r="F6" s="7" t="s">
        <v>8</v>
      </c>
      <c r="G6" s="7">
        <v>133570.95680426728</v>
      </c>
      <c r="H6" s="7">
        <v>133222.1433192009</v>
      </c>
      <c r="I6" s="7">
        <v>132763.8393956658</v>
      </c>
      <c r="J6" s="7">
        <v>132151.1756941507</v>
      </c>
      <c r="K6" s="7">
        <v>131315.51465663401</v>
      </c>
      <c r="L6" s="7">
        <v>130148.06698347302</v>
      </c>
      <c r="M6" s="7">
        <v>128468.45776070279</v>
      </c>
      <c r="N6" s="7">
        <v>125958.94302371657</v>
      </c>
      <c r="O6" s="7">
        <v>122007.74724965771</v>
      </c>
      <c r="P6" s="7">
        <v>115244.93139258264</v>
      </c>
      <c r="Q6" s="7">
        <v>101325</v>
      </c>
    </row>
    <row r="7" spans="2:17" x14ac:dyDescent="0.25">
      <c r="B7" s="21" t="s">
        <v>3</v>
      </c>
      <c r="C7" s="21">
        <v>286.97199999999998</v>
      </c>
      <c r="F7" s="7" t="s">
        <v>9</v>
      </c>
      <c r="G7" s="7">
        <v>1.6201840065563027</v>
      </c>
      <c r="H7" s="7">
        <v>1.6171018785631039</v>
      </c>
      <c r="I7" s="7">
        <v>1.6130450172502637</v>
      </c>
      <c r="J7" s="7">
        <v>1.6076100257191284</v>
      </c>
      <c r="K7" s="7">
        <v>1.6001769991525365</v>
      </c>
      <c r="L7" s="7">
        <v>1.5897576930697142</v>
      </c>
      <c r="M7" s="7">
        <v>1.5747011799659605</v>
      </c>
      <c r="N7" s="7">
        <v>1.5520697153883405</v>
      </c>
      <c r="O7" s="7">
        <v>1.516127369659569</v>
      </c>
      <c r="P7" s="7">
        <v>1.4537677948981527</v>
      </c>
      <c r="Q7" s="7">
        <v>1.3221123787017934</v>
      </c>
    </row>
    <row r="8" spans="2:17" x14ac:dyDescent="0.25">
      <c r="B8" s="21" t="s">
        <v>10</v>
      </c>
      <c r="C8" s="21">
        <v>1004.4</v>
      </c>
    </row>
    <row r="10" spans="2:17" x14ac:dyDescent="0.25">
      <c r="B10" s="22" t="s">
        <v>11</v>
      </c>
      <c r="C10" s="22">
        <v>135000</v>
      </c>
      <c r="F10" s="7" t="s">
        <v>12</v>
      </c>
      <c r="G10" s="8">
        <f t="shared" ref="G10:Q10" si="3">G4*G7*G13</f>
        <v>1.3682003292675637</v>
      </c>
      <c r="H10" s="8">
        <f t="shared" si="3"/>
        <v>1.3682003212908143</v>
      </c>
      <c r="I10" s="8">
        <f t="shared" si="3"/>
        <v>1.3681998800635657</v>
      </c>
      <c r="J10" s="8">
        <f t="shared" si="3"/>
        <v>1.3681993824704664</v>
      </c>
      <c r="K10" s="8">
        <f t="shared" si="3"/>
        <v>1.3681988575771811</v>
      </c>
      <c r="L10" s="8">
        <f t="shared" si="3"/>
        <v>1.3681983387589283</v>
      </c>
      <c r="M10" s="8">
        <f t="shared" si="3"/>
        <v>1.3681978620777049</v>
      </c>
      <c r="N10" s="8">
        <f t="shared" si="3"/>
        <v>1.3681974630379561</v>
      </c>
      <c r="O10" s="8">
        <f t="shared" si="3"/>
        <v>1.3681971710606182</v>
      </c>
      <c r="P10" s="8">
        <f t="shared" si="3"/>
        <v>1.3681970011131772</v>
      </c>
      <c r="Q10" s="8">
        <f t="shared" si="3"/>
        <v>1.3681969423888067</v>
      </c>
    </row>
    <row r="11" spans="2:17" x14ac:dyDescent="0.25">
      <c r="B11" s="22" t="s">
        <v>13</v>
      </c>
      <c r="C11" s="22">
        <v>288.16000000000003</v>
      </c>
      <c r="F11" s="7" t="s">
        <v>14</v>
      </c>
      <c r="G11" s="10">
        <v>0</v>
      </c>
      <c r="H11" s="10">
        <f>(H13)*(H10-I10)</f>
        <v>2.0572997540142868E-5</v>
      </c>
      <c r="I11" s="10">
        <f t="shared" ref="I11:P11" si="4">(I13)*(I10-J10)</f>
        <v>2.5915676103055579E-5</v>
      </c>
      <c r="J11" s="10">
        <f t="shared" si="4"/>
        <v>3.075190349319598E-5</v>
      </c>
      <c r="K11" s="10">
        <f t="shared" si="4"/>
        <v>3.4473599035432498E-5</v>
      </c>
      <c r="L11" s="10">
        <f t="shared" si="4"/>
        <v>3.6273861905813143E-5</v>
      </c>
      <c r="M11" s="10">
        <f t="shared" si="4"/>
        <v>3.519175992407785E-5</v>
      </c>
      <c r="N11" s="10">
        <f t="shared" si="4"/>
        <v>3.0299128745147751E-5</v>
      </c>
      <c r="O11" s="10">
        <f t="shared" si="4"/>
        <v>2.1188259457878824E-5</v>
      </c>
      <c r="P11" s="10">
        <f t="shared" si="4"/>
        <v>9.0869206277988695E-6</v>
      </c>
      <c r="Q11" s="22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7" t="s">
        <v>6</v>
      </c>
      <c r="G13" s="22">
        <f>(H4*H5*H7)/(G4*G7)</f>
        <v>42.000600831007439</v>
      </c>
      <c r="H13" s="11">
        <f t="shared" ref="H13:Q13" si="5">((G6-H6)/H7+G5*H5)^0.5</f>
        <v>46.626761174341532</v>
      </c>
      <c r="I13" s="11">
        <f t="shared" si="5"/>
        <v>52.08206491361527</v>
      </c>
      <c r="J13" s="11">
        <f t="shared" si="5"/>
        <v>58.586963018098594</v>
      </c>
      <c r="K13" s="11">
        <f t="shared" si="5"/>
        <v>66.446388208458643</v>
      </c>
      <c r="L13" s="11">
        <f t="shared" si="5"/>
        <v>76.096687107612652</v>
      </c>
      <c r="M13" s="11">
        <f t="shared" si="5"/>
        <v>88.191113867579375</v>
      </c>
      <c r="N13" s="11">
        <f t="shared" si="5"/>
        <v>103.77219330417552</v>
      </c>
      <c r="O13" s="11">
        <f t="shared" si="5"/>
        <v>124.67536629031191</v>
      </c>
      <c r="P13" s="11">
        <f t="shared" si="5"/>
        <v>154.73849364263037</v>
      </c>
      <c r="Q13" s="11">
        <f t="shared" si="5"/>
        <v>205.87821240866614</v>
      </c>
    </row>
    <row r="14" spans="2:17" x14ac:dyDescent="0.25">
      <c r="B14" s="23" t="s">
        <v>15</v>
      </c>
      <c r="C14" s="23">
        <v>2000</v>
      </c>
      <c r="D14" s="27">
        <v>2000</v>
      </c>
      <c r="F14" s="7" t="s">
        <v>8</v>
      </c>
      <c r="G14" s="25">
        <f>C10-(G7*G13^2)/2</f>
        <v>133570.95682073975</v>
      </c>
      <c r="H14" s="12">
        <f>H6+H11</f>
        <v>133222.1433397739</v>
      </c>
      <c r="I14" s="12">
        <f t="shared" ref="I14:Q14" si="6">I6+I11</f>
        <v>132763.83942158148</v>
      </c>
      <c r="J14" s="12">
        <f t="shared" si="6"/>
        <v>132151.1757249026</v>
      </c>
      <c r="K14" s="12">
        <f t="shared" si="6"/>
        <v>131315.51469110762</v>
      </c>
      <c r="L14" s="12">
        <f t="shared" si="6"/>
        <v>130148.06701974689</v>
      </c>
      <c r="M14" s="12">
        <f t="shared" si="6"/>
        <v>128468.45779589454</v>
      </c>
      <c r="N14" s="12">
        <f t="shared" si="6"/>
        <v>125958.94305401569</v>
      </c>
      <c r="O14" s="12">
        <f t="shared" si="6"/>
        <v>122007.74727084597</v>
      </c>
      <c r="P14" s="12">
        <f t="shared" si="6"/>
        <v>115244.93140166956</v>
      </c>
      <c r="Q14" s="25">
        <f t="shared" si="6"/>
        <v>101325</v>
      </c>
    </row>
    <row r="15" spans="2:17" x14ac:dyDescent="0.25">
      <c r="F15" s="7" t="s">
        <v>9</v>
      </c>
      <c r="G15" s="8">
        <f>G14/($C$7*G17)</f>
        <v>1.6201840066985871</v>
      </c>
      <c r="H15" s="8">
        <f t="shared" ref="H15:Q15" si="7">H14/($C$7*H17)</f>
        <v>1.6171018787417422</v>
      </c>
      <c r="I15" s="8">
        <f t="shared" si="7"/>
        <v>1.6130450174762354</v>
      </c>
      <c r="J15" s="8">
        <f t="shared" si="7"/>
        <v>1.6076100259876565</v>
      </c>
      <c r="K15" s="8">
        <f t="shared" si="7"/>
        <v>1.6001769994533437</v>
      </c>
      <c r="L15" s="8">
        <f t="shared" si="7"/>
        <v>1.5897576933851962</v>
      </c>
      <c r="M15" s="8">
        <f t="shared" si="7"/>
        <v>1.5747011802697271</v>
      </c>
      <c r="N15" s="8">
        <f t="shared" si="7"/>
        <v>1.552069715645374</v>
      </c>
      <c r="O15" s="8">
        <f t="shared" si="7"/>
        <v>1.5161273698307294</v>
      </c>
      <c r="P15" s="8">
        <f t="shared" si="7"/>
        <v>1.4537677949549261</v>
      </c>
      <c r="Q15" s="16">
        <f t="shared" si="7"/>
        <v>1.3221123786717703</v>
      </c>
    </row>
    <row r="17" spans="6:17" x14ac:dyDescent="0.25">
      <c r="F17" s="7" t="s">
        <v>17</v>
      </c>
      <c r="G17" s="11">
        <f>$C$11-(G13^2)/(2*$C$8)</f>
        <v>287.28183867474831</v>
      </c>
      <c r="H17" s="11">
        <f t="shared" ref="H17:Q17" si="8">$C$11-(H13^2)/(2*$C$8)</f>
        <v>287.07773453922289</v>
      </c>
      <c r="I17" s="11">
        <f t="shared" si="8"/>
        <v>286.80967070606033</v>
      </c>
      <c r="J17" s="11">
        <f t="shared" si="8"/>
        <v>286.4513021526862</v>
      </c>
      <c r="K17" s="11">
        <f t="shared" si="8"/>
        <v>285.96210946537775</v>
      </c>
      <c r="L17" s="11">
        <f t="shared" si="8"/>
        <v>285.27733084988358</v>
      </c>
      <c r="M17" s="11">
        <f t="shared" si="8"/>
        <v>284.28819963898633</v>
      </c>
      <c r="N17" s="11">
        <f t="shared" si="8"/>
        <v>282.79925323419002</v>
      </c>
      <c r="O17" s="11">
        <f t="shared" si="8"/>
        <v>280.42207339724047</v>
      </c>
      <c r="P17" s="11">
        <f t="shared" si="8"/>
        <v>276.24044533313901</v>
      </c>
      <c r="Q17" s="11">
        <f t="shared" si="8"/>
        <v>267.05992117453815</v>
      </c>
    </row>
    <row r="18" spans="6:17" x14ac:dyDescent="0.25">
      <c r="F18" s="7" t="s">
        <v>18</v>
      </c>
      <c r="G18" s="13">
        <f>SQRT($C$6*$C$7*G17)</f>
        <v>339.73310308452108</v>
      </c>
      <c r="H18" s="13">
        <f t="shared" ref="H18:Q18" si="9">SQRT($C$6*$C$7*H17)</f>
        <v>339.61239713924726</v>
      </c>
      <c r="I18" s="13">
        <f t="shared" si="9"/>
        <v>339.45380061298971</v>
      </c>
      <c r="J18" s="13">
        <f t="shared" si="9"/>
        <v>339.24166064017686</v>
      </c>
      <c r="K18" s="13">
        <f t="shared" si="9"/>
        <v>338.95186364511659</v>
      </c>
      <c r="L18" s="13">
        <f t="shared" si="9"/>
        <v>338.54578518143433</v>
      </c>
      <c r="M18" s="13">
        <f t="shared" si="9"/>
        <v>337.95836210621991</v>
      </c>
      <c r="N18" s="13">
        <f t="shared" si="9"/>
        <v>337.07217953840501</v>
      </c>
      <c r="O18" s="13">
        <f t="shared" si="9"/>
        <v>335.6524937278644</v>
      </c>
      <c r="P18" s="13">
        <f t="shared" si="9"/>
        <v>333.14048434466531</v>
      </c>
      <c r="Q18" s="13">
        <f t="shared" si="9"/>
        <v>327.55794537611109</v>
      </c>
    </row>
    <row r="19" spans="6:17" x14ac:dyDescent="0.25">
      <c r="F19" s="7" t="s">
        <v>19</v>
      </c>
      <c r="G19" s="10">
        <f>G13/G18</f>
        <v>0.12362822595052872</v>
      </c>
      <c r="H19" s="10">
        <f t="shared" ref="H19:Q19" si="10">H13/H18</f>
        <v>0.13729404923702979</v>
      </c>
      <c r="I19" s="10">
        <f t="shared" si="10"/>
        <v>0.15342902279946449</v>
      </c>
      <c r="J19" s="10">
        <f t="shared" si="10"/>
        <v>0.17269978842675215</v>
      </c>
      <c r="K19" s="10">
        <f t="shared" si="10"/>
        <v>0.19603488086446449</v>
      </c>
      <c r="L19" s="10">
        <f t="shared" si="10"/>
        <v>0.22477517204011482</v>
      </c>
      <c r="M19" s="10">
        <f t="shared" si="10"/>
        <v>0.26095260172867396</v>
      </c>
      <c r="N19" s="10">
        <f t="shared" si="10"/>
        <v>0.3078634179963583</v>
      </c>
      <c r="O19" s="10">
        <f t="shared" si="10"/>
        <v>0.3714417995398373</v>
      </c>
      <c r="P19" s="10">
        <f t="shared" si="10"/>
        <v>0.46448420685652475</v>
      </c>
      <c r="Q19" s="10">
        <f t="shared" si="10"/>
        <v>0.62852455669262153</v>
      </c>
    </row>
    <row r="20" spans="6:17" x14ac:dyDescent="0.25">
      <c r="F20" s="7" t="s">
        <v>20</v>
      </c>
      <c r="G20" s="7">
        <f>1-((($C$6-1)/($C$6+1))*G21^2)</f>
        <v>0.99703388032944862</v>
      </c>
      <c r="H20" s="7">
        <f t="shared" ref="H20:Q20" si="11">1-((($C$6-1)/($C$6+1))*H21^2)</f>
        <v>0.9963670293042457</v>
      </c>
      <c r="I20" s="7">
        <f t="shared" si="11"/>
        <v>0.99550360161071294</v>
      </c>
      <c r="J20" s="7">
        <f t="shared" si="11"/>
        <v>0.9943707441680717</v>
      </c>
      <c r="K20" s="7">
        <f t="shared" si="11"/>
        <v>0.99286263808730046</v>
      </c>
      <c r="L20" s="7">
        <f t="shared" si="11"/>
        <v>0.99082258191009576</v>
      </c>
      <c r="M20" s="7">
        <f t="shared" si="11"/>
        <v>0.98801325319284194</v>
      </c>
      <c r="N20" s="7">
        <f t="shared" si="11"/>
        <v>0.98406471256549299</v>
      </c>
      <c r="O20" s="7">
        <f t="shared" si="11"/>
        <v>0.97837371280008245</v>
      </c>
      <c r="P20" s="7">
        <f t="shared" si="11"/>
        <v>0.96985722511962258</v>
      </c>
      <c r="Q20" s="7">
        <f t="shared" si="11"/>
        <v>0.95586323046793509</v>
      </c>
    </row>
    <row r="21" spans="6:17" x14ac:dyDescent="0.25">
      <c r="F21" s="7" t="s">
        <v>21</v>
      </c>
      <c r="G21" s="7">
        <f>SQRT(((($C$6+1)/2)*G19^2)/(1+2*G19^2))</f>
        <v>0.13340434034658896</v>
      </c>
      <c r="H21" s="7">
        <f>SQRT(((($C$6+1)/2)*H19^2)/(1+2*H19^2))</f>
        <v>0.1476408621436692</v>
      </c>
      <c r="I21" s="7">
        <f t="shared" ref="I21:Q21" si="12">SQRT(((($C$6+1)/2)*I19^2)/(1+2*I19^2))</f>
        <v>0.16425099797481407</v>
      </c>
      <c r="J21" s="7">
        <f t="shared" si="12"/>
        <v>0.18378121501277009</v>
      </c>
      <c r="K21" s="7">
        <f t="shared" si="12"/>
        <v>0.20694001903014664</v>
      </c>
      <c r="L21" s="7">
        <f t="shared" si="12"/>
        <v>0.2346582803555535</v>
      </c>
      <c r="M21" s="7">
        <f t="shared" si="12"/>
        <v>0.26817994116441396</v>
      </c>
      <c r="N21" s="7">
        <f t="shared" si="12"/>
        <v>0.30921145613809642</v>
      </c>
      <c r="O21" s="7">
        <f t="shared" si="12"/>
        <v>0.36021899339083352</v>
      </c>
      <c r="P21" s="7">
        <f t="shared" si="12"/>
        <v>0.42527244124474417</v>
      </c>
      <c r="Q21" s="7">
        <f t="shared" si="12"/>
        <v>0.51460724556926829</v>
      </c>
    </row>
    <row r="22" spans="6:17" x14ac:dyDescent="0.25">
      <c r="F22" s="7" t="s">
        <v>22</v>
      </c>
      <c r="G22" s="7">
        <f>(1-((($C$6-1)/($C$6+1))*G21^2))^($C$6/($C$6-1))</f>
        <v>0.98965701475359702</v>
      </c>
      <c r="H22" s="7">
        <f t="shared" ref="H22:Q22" si="13">(1-((($C$6-1)/($C$6+1))*H21^2))^($C$6/($C$6-1))</f>
        <v>0.98734224105542545</v>
      </c>
      <c r="I22" s="7">
        <f t="shared" si="13"/>
        <v>0.98435085888494234</v>
      </c>
      <c r="J22" s="7">
        <f t="shared" si="13"/>
        <v>0.98043585193096505</v>
      </c>
      <c r="K22" s="7">
        <f t="shared" si="13"/>
        <v>0.97524130962622324</v>
      </c>
      <c r="L22" s="7">
        <f t="shared" si="13"/>
        <v>0.96824583214644011</v>
      </c>
      <c r="M22" s="7">
        <f t="shared" si="13"/>
        <v>0.95867123352037442</v>
      </c>
      <c r="N22" s="7">
        <f t="shared" si="13"/>
        <v>0.94532861847935845</v>
      </c>
      <c r="O22" s="7">
        <f t="shared" si="13"/>
        <v>0.92633210050185855</v>
      </c>
      <c r="P22" s="7">
        <f t="shared" si="13"/>
        <v>0.89841567214044826</v>
      </c>
      <c r="Q22" s="7">
        <f t="shared" si="13"/>
        <v>0.85385700398577447</v>
      </c>
    </row>
    <row r="23" spans="6:17" x14ac:dyDescent="0.25">
      <c r="F23" s="7" t="s">
        <v>11</v>
      </c>
      <c r="G23" s="7">
        <f>G14/G22</f>
        <v>134966.9176588376</v>
      </c>
      <c r="H23" s="7">
        <f t="shared" ref="H23:Q23" si="14">H14/H22</f>
        <v>134930.05545611549</v>
      </c>
      <c r="I23" s="7">
        <f t="shared" si="14"/>
        <v>134874.50965601264</v>
      </c>
      <c r="J23" s="7">
        <f t="shared" si="14"/>
        <v>134788.19186857692</v>
      </c>
      <c r="K23" s="7">
        <f t="shared" si="14"/>
        <v>134649.253876906</v>
      </c>
      <c r="L23" s="7">
        <f t="shared" si="14"/>
        <v>134416.34624053093</v>
      </c>
      <c r="M23" s="7">
        <f t="shared" si="14"/>
        <v>134006.79326127315</v>
      </c>
      <c r="N23" s="7">
        <f t="shared" si="14"/>
        <v>133243.55212754625</v>
      </c>
      <c r="O23" s="7">
        <f t="shared" si="14"/>
        <v>131710.58976013665</v>
      </c>
      <c r="P23" s="7">
        <f t="shared" si="14"/>
        <v>128275.73580400928</v>
      </c>
      <c r="Q23" s="7">
        <f t="shared" si="14"/>
        <v>118667.41096813456</v>
      </c>
    </row>
    <row r="30" spans="6:17" x14ac:dyDescent="0.25">
      <c r="J30" s="1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Q19"/>
  <sheetViews>
    <sheetView zoomScale="50" zoomScaleNormal="50" workbookViewId="0">
      <selection activeCell="P46" sqref="P46"/>
    </sheetView>
  </sheetViews>
  <sheetFormatPr defaultRowHeight="15" x14ac:dyDescent="0.25"/>
  <sheetData>
    <row r="1" spans="2:17" x14ac:dyDescent="0.25">
      <c r="F1" s="7" t="s">
        <v>0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</v>
      </c>
      <c r="G2" s="8">
        <v>0</v>
      </c>
      <c r="H2" s="8">
        <f>G2+$C$4</f>
        <v>0.01</v>
      </c>
      <c r="I2" s="8">
        <f t="shared" ref="I2:Q2" si="0">H2+$C$4</f>
        <v>0.02</v>
      </c>
      <c r="J2" s="8">
        <f t="shared" si="0"/>
        <v>0.03</v>
      </c>
      <c r="K2" s="8">
        <f t="shared" si="0"/>
        <v>0.04</v>
      </c>
      <c r="L2" s="8">
        <f t="shared" si="0"/>
        <v>0.05</v>
      </c>
      <c r="M2" s="8">
        <f t="shared" si="0"/>
        <v>6.0000000000000005E-2</v>
      </c>
      <c r="N2" s="8">
        <f t="shared" si="0"/>
        <v>7.0000000000000007E-2</v>
      </c>
      <c r="O2" s="8">
        <f t="shared" si="0"/>
        <v>0.08</v>
      </c>
      <c r="P2" s="8">
        <f t="shared" si="0"/>
        <v>0.09</v>
      </c>
      <c r="Q2" s="8">
        <f t="shared" si="0"/>
        <v>9.9999999999999992E-2</v>
      </c>
    </row>
    <row r="3" spans="2:17" x14ac:dyDescent="0.25">
      <c r="B3" s="7" t="s">
        <v>2</v>
      </c>
      <c r="C3" s="7">
        <v>0.1</v>
      </c>
      <c r="F3" s="7" t="s">
        <v>3</v>
      </c>
      <c r="G3" s="24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24">
        <v>0.04</v>
      </c>
    </row>
    <row r="4" spans="2:17" x14ac:dyDescent="0.25">
      <c r="B4" s="7" t="s">
        <v>4</v>
      </c>
      <c r="C4" s="7">
        <f>C3/10</f>
        <v>0.01</v>
      </c>
      <c r="F4" s="7" t="s">
        <v>5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F5" s="7" t="s">
        <v>6</v>
      </c>
      <c r="G5" s="7">
        <v>18.971455776311203</v>
      </c>
      <c r="H5" s="7">
        <v>21.02100357299863</v>
      </c>
      <c r="I5" s="7">
        <v>23.421546758241181</v>
      </c>
      <c r="J5" s="7">
        <v>26.258062964201336</v>
      </c>
      <c r="K5" s="7">
        <v>29.64288847989371</v>
      </c>
      <c r="L5" s="7">
        <v>33.727017423980747</v>
      </c>
      <c r="M5" s="7">
        <v>38.717237739351916</v>
      </c>
      <c r="N5" s="7">
        <v>44.902831075546345</v>
      </c>
      <c r="O5" s="7">
        <v>52.69846135557016</v>
      </c>
      <c r="P5" s="7">
        <v>62.715524642010273</v>
      </c>
      <c r="Q5" s="7">
        <v>75.88578525174664</v>
      </c>
    </row>
    <row r="6" spans="2:17" x14ac:dyDescent="0.25">
      <c r="B6" s="21" t="s">
        <v>7</v>
      </c>
      <c r="C6" s="21">
        <v>1.4</v>
      </c>
      <c r="F6" s="7" t="s">
        <v>8</v>
      </c>
      <c r="G6" s="7">
        <v>104786.74969044352</v>
      </c>
      <c r="H6" s="7">
        <v>104735.69568468926</v>
      </c>
      <c r="I6" s="7">
        <v>104669.06973257133</v>
      </c>
      <c r="J6" s="7">
        <v>104580.80925100141</v>
      </c>
      <c r="K6" s="7">
        <v>104461.9110868548</v>
      </c>
      <c r="L6" s="7">
        <v>104298.68268516126</v>
      </c>
      <c r="M6" s="7">
        <v>104069.73174391234</v>
      </c>
      <c r="N6" s="7">
        <v>103740.59722115673</v>
      </c>
      <c r="O6" s="7">
        <v>103253.77822206651</v>
      </c>
      <c r="P6" s="7">
        <v>102509.33114784503</v>
      </c>
      <c r="Q6" s="7">
        <v>101325</v>
      </c>
    </row>
    <row r="7" spans="2:17" x14ac:dyDescent="0.25">
      <c r="B7" s="21" t="s">
        <v>3</v>
      </c>
      <c r="C7" s="21">
        <v>286.97199999999998</v>
      </c>
      <c r="F7" s="7" t="s">
        <v>9</v>
      </c>
      <c r="G7" s="7">
        <v>1.1850000000000001</v>
      </c>
      <c r="H7" s="7">
        <v>1.1850000000000001</v>
      </c>
      <c r="I7" s="7">
        <v>1.1850000000000001</v>
      </c>
      <c r="J7" s="7">
        <v>1.1850000000000001</v>
      </c>
      <c r="K7" s="7">
        <v>1.1850000000000001</v>
      </c>
      <c r="L7" s="7">
        <v>1.1850000000000001</v>
      </c>
      <c r="M7" s="7">
        <v>1.1850000000000001</v>
      </c>
      <c r="N7" s="7">
        <v>1.1850000000000001</v>
      </c>
      <c r="O7" s="7">
        <v>1.1850000000000001</v>
      </c>
      <c r="P7" s="7">
        <v>1.1850000000000001</v>
      </c>
      <c r="Q7" s="7">
        <v>1.1850000000000001</v>
      </c>
    </row>
    <row r="8" spans="2:17" x14ac:dyDescent="0.25">
      <c r="B8" s="21" t="s">
        <v>10</v>
      </c>
      <c r="C8" s="21">
        <v>1004.4</v>
      </c>
    </row>
    <row r="10" spans="2:17" x14ac:dyDescent="0.25">
      <c r="B10" s="22" t="s">
        <v>11</v>
      </c>
      <c r="C10" s="22">
        <v>105000</v>
      </c>
      <c r="F10" s="7" t="s">
        <v>12</v>
      </c>
      <c r="G10" s="8">
        <f>G4*G7*G13</f>
        <v>0.45201084371136407</v>
      </c>
      <c r="H10" s="8">
        <f>H4*H7*H13</f>
        <v>0.45201084248514894</v>
      </c>
      <c r="I10" s="8">
        <f t="shared" ref="I10:Q10" si="3">I4*I7*I13</f>
        <v>0.45201077485286445</v>
      </c>
      <c r="J10" s="8">
        <f t="shared" si="3"/>
        <v>0.45201071834618689</v>
      </c>
      <c r="K10" s="8">
        <f t="shared" si="3"/>
        <v>0.45201067414804225</v>
      </c>
      <c r="L10" s="8">
        <f t="shared" si="3"/>
        <v>0.4520106427333081</v>
      </c>
      <c r="M10" s="8">
        <f t="shared" si="3"/>
        <v>0.45201062359753369</v>
      </c>
      <c r="N10" s="8">
        <f t="shared" si="3"/>
        <v>0.45201061503429235</v>
      </c>
      <c r="O10" s="8">
        <f t="shared" si="3"/>
        <v>0.45201061408601589</v>
      </c>
      <c r="P10" s="8">
        <f t="shared" si="3"/>
        <v>0.45201061686254995</v>
      </c>
      <c r="Q10" s="8">
        <f t="shared" si="3"/>
        <v>0.4520106194487214</v>
      </c>
    </row>
    <row r="11" spans="2:17" x14ac:dyDescent="0.25">
      <c r="B11" s="22" t="s">
        <v>13</v>
      </c>
      <c r="C11" s="22">
        <v>288.16000000000003</v>
      </c>
      <c r="F11" s="7" t="s">
        <v>14</v>
      </c>
      <c r="G11" s="10">
        <v>0</v>
      </c>
      <c r="H11" s="10">
        <f>(H13)*(H10-I10)</f>
        <v>1.4216984901631499E-6</v>
      </c>
      <c r="I11" s="10">
        <f t="shared" ref="I11:P11" si="4">(I13)*(I10-J10)</f>
        <v>1.3234737878439652E-6</v>
      </c>
      <c r="J11" s="10">
        <f t="shared" si="4"/>
        <v>1.1605576632098742E-6</v>
      </c>
      <c r="K11" s="10">
        <f t="shared" si="4"/>
        <v>9.3122346000919597E-7</v>
      </c>
      <c r="L11" s="10">
        <f t="shared" si="4"/>
        <v>6.4539259653351337E-7</v>
      </c>
      <c r="M11" s="10">
        <f t="shared" si="4"/>
        <v>3.3154505060561301E-7</v>
      </c>
      <c r="N11" s="10">
        <f t="shared" si="4"/>
        <v>4.2580297571704947E-8</v>
      </c>
      <c r="O11" s="10">
        <f t="shared" si="4"/>
        <v>-1.4631907276177267E-7</v>
      </c>
      <c r="P11" s="10">
        <f t="shared" si="4"/>
        <v>-1.6219309889754392E-7</v>
      </c>
      <c r="Q11" s="22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7" t="s">
        <v>6</v>
      </c>
      <c r="G13" s="22">
        <f>(H4*H5*H7)/(G4*G7)</f>
        <v>18.971455724631262</v>
      </c>
      <c r="H13" s="11">
        <f t="shared" ref="H13:Q13" si="5">((G6-H6)/H7+G5*H5)^0.5</f>
        <v>21.021003515972847</v>
      </c>
      <c r="I13" s="11">
        <f t="shared" si="5"/>
        <v>23.421546709326705</v>
      </c>
      <c r="J13" s="11">
        <f t="shared" si="5"/>
        <v>26.258062924428092</v>
      </c>
      <c r="K13" s="11">
        <f t="shared" si="5"/>
        <v>29.642888449763046</v>
      </c>
      <c r="L13" s="11">
        <f t="shared" si="5"/>
        <v>33.727017403258657</v>
      </c>
      <c r="M13" s="11">
        <f t="shared" si="5"/>
        <v>38.717237726899626</v>
      </c>
      <c r="N13" s="11">
        <f t="shared" si="5"/>
        <v>44.902831069280374</v>
      </c>
      <c r="O13" s="11">
        <f t="shared" si="5"/>
        <v>52.698461352696171</v>
      </c>
      <c r="P13" s="11">
        <f t="shared" si="5"/>
        <v>62.715524639686627</v>
      </c>
      <c r="Q13" s="11">
        <f t="shared" si="5"/>
        <v>75.885785248200023</v>
      </c>
    </row>
    <row r="14" spans="2:17" x14ac:dyDescent="0.25">
      <c r="B14" s="23" t="s">
        <v>15</v>
      </c>
      <c r="C14" s="23">
        <v>2000</v>
      </c>
      <c r="F14" s="7" t="s">
        <v>8</v>
      </c>
      <c r="G14" s="25">
        <f>C10-(G7*G13^2)/2</f>
        <v>104786.74969160535</v>
      </c>
      <c r="H14" s="7">
        <f>H6+H11</f>
        <v>104735.69568611095</v>
      </c>
      <c r="I14" s="7">
        <f t="shared" ref="I14:Q14" si="6">I6+I11</f>
        <v>104669.06973389479</v>
      </c>
      <c r="J14" s="7">
        <f t="shared" si="6"/>
        <v>104580.80925216197</v>
      </c>
      <c r="K14" s="7">
        <f t="shared" si="6"/>
        <v>104461.91108778602</v>
      </c>
      <c r="L14" s="7">
        <f t="shared" si="6"/>
        <v>104298.68268580665</v>
      </c>
      <c r="M14" s="7">
        <f t="shared" si="6"/>
        <v>104069.73174424389</v>
      </c>
      <c r="N14" s="7">
        <f t="shared" si="6"/>
        <v>103740.59722119931</v>
      </c>
      <c r="O14" s="7">
        <f t="shared" si="6"/>
        <v>103253.77822192019</v>
      </c>
      <c r="P14" s="7">
        <f t="shared" si="6"/>
        <v>102509.33114768284</v>
      </c>
      <c r="Q14" s="22">
        <f t="shared" si="6"/>
        <v>101325</v>
      </c>
    </row>
    <row r="15" spans="2:17" x14ac:dyDescent="0.25">
      <c r="F15" s="7" t="s">
        <v>9</v>
      </c>
      <c r="G15" s="7">
        <v>1.1850000000000001</v>
      </c>
      <c r="H15" s="7">
        <v>1.1850000000000001</v>
      </c>
      <c r="I15" s="7">
        <v>1.1850000000000001</v>
      </c>
      <c r="J15" s="7">
        <v>1.1850000000000001</v>
      </c>
      <c r="K15" s="7">
        <v>1.1850000000000001</v>
      </c>
      <c r="L15" s="7">
        <v>1.1850000000000001</v>
      </c>
      <c r="M15" s="7">
        <v>1.1850000000000001</v>
      </c>
      <c r="N15" s="7">
        <v>1.1850000000000001</v>
      </c>
      <c r="O15" s="7">
        <v>1.1850000000000001</v>
      </c>
      <c r="P15" s="7">
        <v>1.1850000000000001</v>
      </c>
      <c r="Q15" s="7">
        <v>1.1850000000000001</v>
      </c>
    </row>
    <row r="17" spans="6:17" x14ac:dyDescent="0.25">
      <c r="F17" s="7" t="s">
        <v>17</v>
      </c>
      <c r="G17" s="11">
        <f>$C$11-(G13^2)/(2*$C$8)</f>
        <v>287.9808302806095</v>
      </c>
      <c r="H17" s="11">
        <f t="shared" ref="H17:Q17" si="7">$C$11-(H13^2)/(2*$C$8)</f>
        <v>287.94002658860092</v>
      </c>
      <c r="I17" s="11">
        <f t="shared" si="7"/>
        <v>287.88691713945781</v>
      </c>
      <c r="J17" s="11">
        <f t="shared" si="7"/>
        <v>287.81676728965391</v>
      </c>
      <c r="K17" s="11">
        <f t="shared" si="7"/>
        <v>287.72257425545348</v>
      </c>
      <c r="L17" s="11">
        <f t="shared" si="7"/>
        <v>287.59373571140998</v>
      </c>
      <c r="M17" s="11">
        <f t="shared" si="7"/>
        <v>287.41377115830284</v>
      </c>
      <c r="N17" s="11">
        <f t="shared" si="7"/>
        <v>287.15628423036821</v>
      </c>
      <c r="O17" s="11">
        <f t="shared" si="7"/>
        <v>286.77751900192078</v>
      </c>
      <c r="P17" s="11">
        <f t="shared" si="7"/>
        <v>286.20199669910841</v>
      </c>
      <c r="Q17" s="11">
        <f t="shared" si="7"/>
        <v>285.29328733436085</v>
      </c>
    </row>
    <row r="18" spans="6:17" x14ac:dyDescent="0.25">
      <c r="F18" s="7" t="s">
        <v>18</v>
      </c>
      <c r="G18" s="13">
        <f>SQRT($C$6*$C$7*G17)</f>
        <v>340.14615793538206</v>
      </c>
      <c r="H18" s="13">
        <f t="shared" ref="H18:Q18" si="8">SQRT($C$6*$C$7*H17)</f>
        <v>340.12205961133657</v>
      </c>
      <c r="I18" s="13">
        <f t="shared" si="8"/>
        <v>340.09069105090526</v>
      </c>
      <c r="J18" s="13">
        <f t="shared" si="8"/>
        <v>340.04925331443559</v>
      </c>
      <c r="K18" s="13">
        <f t="shared" si="8"/>
        <v>339.99360525005523</v>
      </c>
      <c r="L18" s="13">
        <f t="shared" si="8"/>
        <v>339.91747429987271</v>
      </c>
      <c r="M18" s="13">
        <f t="shared" si="8"/>
        <v>339.81110433824358</v>
      </c>
      <c r="N18" s="13">
        <f t="shared" si="8"/>
        <v>339.65885602677889</v>
      </c>
      <c r="O18" s="13">
        <f t="shared" si="8"/>
        <v>339.43477349297444</v>
      </c>
      <c r="P18" s="13">
        <f t="shared" si="8"/>
        <v>339.09400342004153</v>
      </c>
      <c r="Q18" s="13">
        <f t="shared" si="8"/>
        <v>338.5552530298159</v>
      </c>
    </row>
    <row r="19" spans="6:17" x14ac:dyDescent="0.25">
      <c r="F19" s="7" t="s">
        <v>19</v>
      </c>
      <c r="G19" s="10">
        <f>G13/G18</f>
        <v>5.5774423088545633E-2</v>
      </c>
      <c r="H19" s="10">
        <f t="shared" ref="H19:Q19" si="9">H13/H18</f>
        <v>6.180429325870223E-2</v>
      </c>
      <c r="I19" s="10">
        <f t="shared" si="9"/>
        <v>6.8868532205196217E-2</v>
      </c>
      <c r="J19" s="10">
        <f t="shared" si="9"/>
        <v>7.7218410769888904E-2</v>
      </c>
      <c r="K19" s="10">
        <f t="shared" si="9"/>
        <v>8.7186605842076298E-2</v>
      </c>
      <c r="L19" s="10">
        <f t="shared" si="9"/>
        <v>9.9221193240289052E-2</v>
      </c>
      <c r="M19" s="10">
        <f t="shared" si="9"/>
        <v>0.11393752950568969</v>
      </c>
      <c r="N19" s="10">
        <f t="shared" si="9"/>
        <v>0.13219979480158237</v>
      </c>
      <c r="O19" s="10">
        <f t="shared" si="9"/>
        <v>0.15525357290415301</v>
      </c>
      <c r="P19" s="10">
        <f t="shared" si="9"/>
        <v>0.18495026160046787</v>
      </c>
      <c r="Q19" s="10">
        <f t="shared" si="9"/>
        <v>0.22414593945620129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Q23"/>
  <sheetViews>
    <sheetView tabSelected="1" zoomScale="60" zoomScaleNormal="60" workbookViewId="0">
      <selection activeCell="AA26" sqref="AA26"/>
    </sheetView>
  </sheetViews>
  <sheetFormatPr defaultRowHeight="15" x14ac:dyDescent="0.25"/>
  <sheetData>
    <row r="1" spans="2:17" x14ac:dyDescent="0.25">
      <c r="F1" s="7" t="s">
        <v>0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</v>
      </c>
      <c r="G2" s="8">
        <v>0</v>
      </c>
      <c r="H2" s="8">
        <f>G2+$C$4</f>
        <v>0.01</v>
      </c>
      <c r="I2" s="8">
        <f t="shared" ref="I2:Q2" si="0">H2+$C$4</f>
        <v>0.02</v>
      </c>
      <c r="J2" s="8">
        <f t="shared" si="0"/>
        <v>0.03</v>
      </c>
      <c r="K2" s="8">
        <f t="shared" si="0"/>
        <v>0.04</v>
      </c>
      <c r="L2" s="8">
        <f t="shared" si="0"/>
        <v>0.05</v>
      </c>
      <c r="M2" s="8">
        <f t="shared" si="0"/>
        <v>6.0000000000000005E-2</v>
      </c>
      <c r="N2" s="8">
        <f t="shared" si="0"/>
        <v>7.0000000000000007E-2</v>
      </c>
      <c r="O2" s="8">
        <f t="shared" si="0"/>
        <v>0.08</v>
      </c>
      <c r="P2" s="8">
        <f t="shared" si="0"/>
        <v>0.09</v>
      </c>
      <c r="Q2" s="8">
        <f t="shared" si="0"/>
        <v>9.9999999999999992E-2</v>
      </c>
    </row>
    <row r="3" spans="2:17" x14ac:dyDescent="0.25">
      <c r="B3" s="7" t="s">
        <v>2</v>
      </c>
      <c r="C3" s="7">
        <v>0.1</v>
      </c>
      <c r="F3" s="7" t="s">
        <v>3</v>
      </c>
      <c r="G3" s="24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24">
        <v>0.04</v>
      </c>
    </row>
    <row r="4" spans="2:17" x14ac:dyDescent="0.25">
      <c r="B4" s="7" t="s">
        <v>4</v>
      </c>
      <c r="C4" s="7">
        <f>C3/10</f>
        <v>0.01</v>
      </c>
      <c r="F4" s="7" t="s">
        <v>5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F5" s="7" t="s">
        <v>6</v>
      </c>
      <c r="G5" s="7">
        <v>17.992941738830783</v>
      </c>
      <c r="H5" s="7">
        <v>19.943611835560116</v>
      </c>
      <c r="I5" s="7">
        <v>22.231087234677332</v>
      </c>
      <c r="J5" s="7">
        <v>24.938291851457294</v>
      </c>
      <c r="K5" s="7">
        <v>28.175705630478856</v>
      </c>
      <c r="L5" s="7">
        <v>32.093403340126166</v>
      </c>
      <c r="M5" s="7">
        <v>36.899929587958745</v>
      </c>
      <c r="N5" s="7">
        <v>42.893093576841267</v>
      </c>
      <c r="O5" s="7">
        <v>50.512767871552377</v>
      </c>
      <c r="P5" s="7">
        <v>60.437481163492698</v>
      </c>
      <c r="Q5" s="7">
        <v>73.777617309983839</v>
      </c>
    </row>
    <row r="6" spans="2:17" x14ac:dyDescent="0.25">
      <c r="B6" s="21" t="s">
        <v>7</v>
      </c>
      <c r="C6" s="21">
        <v>1.4</v>
      </c>
      <c r="F6" s="7" t="s">
        <v>8</v>
      </c>
      <c r="G6" s="7">
        <v>104794.74978551247</v>
      </c>
      <c r="H6" s="7">
        <v>104745.43830689328</v>
      </c>
      <c r="I6" s="7">
        <v>104681.00910569319</v>
      </c>
      <c r="J6" s="7">
        <v>104595.52320359333</v>
      </c>
      <c r="K6" s="7">
        <v>104480.11692096824</v>
      </c>
      <c r="L6" s="7">
        <v>104321.21850371145</v>
      </c>
      <c r="M6" s="7">
        <v>104097.42556078946</v>
      </c>
      <c r="N6" s="7">
        <v>103773.80166373804</v>
      </c>
      <c r="O6" s="7">
        <v>103290.91519248637</v>
      </c>
      <c r="P6" s="7">
        <v>102542.39465015213</v>
      </c>
      <c r="Q6" s="7">
        <v>101325</v>
      </c>
    </row>
    <row r="7" spans="2:17" x14ac:dyDescent="0.25">
      <c r="B7" s="21" t="s">
        <v>3</v>
      </c>
      <c r="C7" s="21">
        <v>286.97199999999998</v>
      </c>
      <c r="F7" s="7" t="s">
        <v>9</v>
      </c>
      <c r="G7" s="7">
        <v>1.2679708453941181</v>
      </c>
      <c r="H7" s="7">
        <v>1.2675363321920041</v>
      </c>
      <c r="I7" s="7">
        <v>1.2669679684870614</v>
      </c>
      <c r="J7" s="7">
        <v>1.2662128901034642</v>
      </c>
      <c r="K7" s="7">
        <v>1.2651920400724117</v>
      </c>
      <c r="L7" s="7">
        <v>1.2637840821688087</v>
      </c>
      <c r="M7" s="7">
        <v>1.2617971295911803</v>
      </c>
      <c r="N7" s="7">
        <v>1.2589168707809262</v>
      </c>
      <c r="O7" s="7">
        <v>1.2546063015770754</v>
      </c>
      <c r="P7" s="7">
        <v>1.2478988894543679</v>
      </c>
      <c r="Q7" s="7">
        <v>1.2369339278856246</v>
      </c>
    </row>
    <row r="8" spans="2:17" x14ac:dyDescent="0.25">
      <c r="B8" s="21" t="s">
        <v>10</v>
      </c>
      <c r="C8" s="21">
        <v>1004.4</v>
      </c>
    </row>
    <row r="10" spans="2:17" x14ac:dyDescent="0.25">
      <c r="B10" s="22" t="s">
        <v>11</v>
      </c>
      <c r="C10" s="22">
        <v>105000</v>
      </c>
      <c r="F10" s="7" t="s">
        <v>12</v>
      </c>
      <c r="G10" s="8">
        <f t="shared" ref="G10:Q10" si="3">G4*G7*G13</f>
        <v>0.45871325188521439</v>
      </c>
      <c r="H10" s="8">
        <f t="shared" si="3"/>
        <v>0.45871325029802479</v>
      </c>
      <c r="I10" s="8">
        <f t="shared" si="3"/>
        <v>0.4587131627732085</v>
      </c>
      <c r="J10" s="8">
        <f t="shared" si="3"/>
        <v>0.45871308706583735</v>
      </c>
      <c r="K10" s="8">
        <f t="shared" si="3"/>
        <v>0.45871302529429708</v>
      </c>
      <c r="L10" s="8">
        <f t="shared" si="3"/>
        <v>0.45871297884603301</v>
      </c>
      <c r="M10" s="8">
        <f t="shared" si="3"/>
        <v>0.45871294798790124</v>
      </c>
      <c r="N10" s="8">
        <f t="shared" si="3"/>
        <v>0.45871293147509157</v>
      </c>
      <c r="O10" s="8">
        <f t="shared" si="3"/>
        <v>0.45871292629668664</v>
      </c>
      <c r="P10" s="8">
        <f t="shared" si="3"/>
        <v>0.45871292781061412</v>
      </c>
      <c r="Q10" s="8">
        <f t="shared" si="3"/>
        <v>0.45871293063657254</v>
      </c>
    </row>
    <row r="11" spans="2:17" x14ac:dyDescent="0.25">
      <c r="B11" s="22" t="s">
        <v>13</v>
      </c>
      <c r="C11" s="22">
        <v>288.16000000000003</v>
      </c>
      <c r="F11" s="7" t="s">
        <v>14</v>
      </c>
      <c r="G11" s="10">
        <v>0</v>
      </c>
      <c r="H11" s="10">
        <f>(H13)*(H10-I10)</f>
        <v>1.7455609558968508E-6</v>
      </c>
      <c r="I11" s="10">
        <f t="shared" ref="I11:P11" si="4">(I13)*(I10-J10)</f>
        <v>1.6830571677216519E-6</v>
      </c>
      <c r="J11" s="10">
        <f t="shared" si="4"/>
        <v>1.5404766962351271E-6</v>
      </c>
      <c r="K11" s="10">
        <f t="shared" si="4"/>
        <v>1.3087126135463549E-6</v>
      </c>
      <c r="L11" s="10">
        <f t="shared" si="4"/>
        <v>9.9034246837163779E-7</v>
      </c>
      <c r="M11" s="10">
        <f t="shared" si="4"/>
        <v>6.0932151399787833E-7</v>
      </c>
      <c r="N11" s="10">
        <f t="shared" si="4"/>
        <v>2.2211780706129267E-7</v>
      </c>
      <c r="O11" s="10">
        <f t="shared" si="4"/>
        <v>-7.6472667534290485E-8</v>
      </c>
      <c r="P11" s="10">
        <f t="shared" si="4"/>
        <v>-1.7079380826769098E-7</v>
      </c>
      <c r="Q11" s="22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7" t="s">
        <v>6</v>
      </c>
      <c r="G13" s="22">
        <f>(H4*H5*H7)/(G4*G7)</f>
        <v>17.992941676381086</v>
      </c>
      <c r="H13" s="11">
        <f t="shared" ref="H13:P13" si="5">((G6-H6)/H7+G5*H5)^0.5</f>
        <v>19.943611766553403</v>
      </c>
      <c r="I13" s="11">
        <f t="shared" si="5"/>
        <v>22.231087173647417</v>
      </c>
      <c r="J13" s="11">
        <f t="shared" si="5"/>
        <v>24.938291800040869</v>
      </c>
      <c r="K13" s="11">
        <f t="shared" si="5"/>
        <v>28.17570558981426</v>
      </c>
      <c r="L13" s="11">
        <f t="shared" si="5"/>
        <v>32.093403310576335</v>
      </c>
      <c r="M13" s="11">
        <f t="shared" si="5"/>
        <v>36.899929568834999</v>
      </c>
      <c r="N13" s="11">
        <f t="shared" si="5"/>
        <v>42.893093566219932</v>
      </c>
      <c r="O13" s="11">
        <f t="shared" si="5"/>
        <v>50.512767866356548</v>
      </c>
      <c r="P13" s="11">
        <f t="shared" si="5"/>
        <v>60.437481160085497</v>
      </c>
      <c r="Q13" s="11">
        <f>((P6-Q6)/Q7+P5*Q5)^0.5</f>
        <v>73.777617305492527</v>
      </c>
    </row>
    <row r="14" spans="2:17" x14ac:dyDescent="0.25">
      <c r="B14" s="23" t="s">
        <v>15</v>
      </c>
      <c r="C14" s="23">
        <v>2000</v>
      </c>
      <c r="D14" s="27">
        <v>2000</v>
      </c>
      <c r="F14" s="7" t="s">
        <v>8</v>
      </c>
      <c r="G14" s="25">
        <f>C10-(G7*G13^2)/2</f>
        <v>104794.74978693524</v>
      </c>
      <c r="H14" s="12">
        <f>H6+H11</f>
        <v>104745.43830863884</v>
      </c>
      <c r="I14" s="12">
        <f t="shared" ref="I14:Q14" si="6">I6+I11</f>
        <v>104681.00910737625</v>
      </c>
      <c r="J14" s="12">
        <f t="shared" si="6"/>
        <v>104595.52320513381</v>
      </c>
      <c r="K14" s="12">
        <f t="shared" si="6"/>
        <v>104480.11692227695</v>
      </c>
      <c r="L14" s="12">
        <f t="shared" si="6"/>
        <v>104321.2185047018</v>
      </c>
      <c r="M14" s="12">
        <f t="shared" si="6"/>
        <v>104097.42556139878</v>
      </c>
      <c r="N14" s="12">
        <f t="shared" si="6"/>
        <v>103773.80166396016</v>
      </c>
      <c r="O14" s="12">
        <f t="shared" si="6"/>
        <v>103290.9151924099</v>
      </c>
      <c r="P14" s="12">
        <f t="shared" si="6"/>
        <v>102542.39464998133</v>
      </c>
      <c r="Q14" s="25">
        <f t="shared" si="6"/>
        <v>101325</v>
      </c>
    </row>
    <row r="15" spans="2:17" x14ac:dyDescent="0.25">
      <c r="F15" s="7" t="s">
        <v>9</v>
      </c>
      <c r="G15" s="7">
        <f>G14/($C$7*G17)</f>
        <v>1.2679708454064076</v>
      </c>
      <c r="H15" s="7">
        <f t="shared" ref="H15:Q15" si="7">H14/($C$7*H17)</f>
        <v>1.2675363322070958</v>
      </c>
      <c r="I15" s="7">
        <f t="shared" si="7"/>
        <v>1.2669679685014874</v>
      </c>
      <c r="J15" s="7">
        <f t="shared" si="7"/>
        <v>1.2662128901164975</v>
      </c>
      <c r="K15" s="7">
        <f t="shared" si="7"/>
        <v>1.2651920400832439</v>
      </c>
      <c r="L15" s="7">
        <f t="shared" si="7"/>
        <v>1.2637840821766579</v>
      </c>
      <c r="M15" s="7">
        <f t="shared" si="7"/>
        <v>1.2617971295954824</v>
      </c>
      <c r="N15" s="7">
        <f t="shared" si="7"/>
        <v>1.2589168707816327</v>
      </c>
      <c r="O15" s="7">
        <f t="shared" si="7"/>
        <v>1.254606301575004</v>
      </c>
      <c r="P15" s="7">
        <f t="shared" si="7"/>
        <v>1.2478988894513956</v>
      </c>
      <c r="Q15" s="7">
        <f t="shared" si="7"/>
        <v>1.2369339278841953</v>
      </c>
    </row>
    <row r="17" spans="6:17" x14ac:dyDescent="0.25">
      <c r="F17" s="7" t="s">
        <v>17</v>
      </c>
      <c r="G17" s="11">
        <f>$C$11-(G13^2)/(2*$C$8)</f>
        <v>287.99883614587338</v>
      </c>
      <c r="H17" s="11">
        <f t="shared" ref="H17:Q17" si="8">$C$11-(H13^2)/(2*$C$8)</f>
        <v>287.96199738635255</v>
      </c>
      <c r="I17" s="11">
        <f t="shared" si="8"/>
        <v>287.91397190515619</v>
      </c>
      <c r="J17" s="11">
        <f t="shared" si="8"/>
        <v>287.85040302772603</v>
      </c>
      <c r="K17" s="11">
        <f t="shared" si="8"/>
        <v>287.7648036711052</v>
      </c>
      <c r="L17" s="11">
        <f t="shared" si="8"/>
        <v>287.64726277575903</v>
      </c>
      <c r="M17" s="11">
        <f t="shared" si="8"/>
        <v>287.48218000687729</v>
      </c>
      <c r="N17" s="11">
        <f t="shared" si="8"/>
        <v>287.24412112919134</v>
      </c>
      <c r="O17" s="11">
        <f t="shared" si="8"/>
        <v>286.88981893791299</v>
      </c>
      <c r="P17" s="11">
        <f t="shared" si="8"/>
        <v>286.34165614845898</v>
      </c>
      <c r="Q17" s="11">
        <f t="shared" si="8"/>
        <v>285.45035403460986</v>
      </c>
    </row>
    <row r="18" spans="6:17" x14ac:dyDescent="0.25">
      <c r="F18" s="7" t="s">
        <v>18</v>
      </c>
      <c r="G18" s="13">
        <f>SQRT($C$6*$C$7*G17)</f>
        <v>340.15679150802646</v>
      </c>
      <c r="H18" s="13">
        <f t="shared" ref="H18:Q18" si="9">SQRT($C$6*$C$7*H17)</f>
        <v>340.13503559548064</v>
      </c>
      <c r="I18" s="13">
        <f t="shared" si="9"/>
        <v>340.10667103688667</v>
      </c>
      <c r="J18" s="13">
        <f t="shared" si="9"/>
        <v>340.06912268058329</v>
      </c>
      <c r="K18" s="13">
        <f t="shared" si="9"/>
        <v>340.01855498596859</v>
      </c>
      <c r="L18" s="13">
        <f t="shared" si="9"/>
        <v>339.94910561817801</v>
      </c>
      <c r="M18" s="13">
        <f t="shared" si="9"/>
        <v>339.8515420375594</v>
      </c>
      <c r="N18" s="13">
        <f t="shared" si="9"/>
        <v>339.7108003878605</v>
      </c>
      <c r="O18" s="13">
        <f t="shared" si="9"/>
        <v>339.50122704984597</v>
      </c>
      <c r="P18" s="13">
        <f t="shared" si="9"/>
        <v>339.17672804532123</v>
      </c>
      <c r="Q18" s="13">
        <f t="shared" si="9"/>
        <v>338.64843510228729</v>
      </c>
    </row>
    <row r="19" spans="6:17" x14ac:dyDescent="0.25">
      <c r="F19" s="7" t="s">
        <v>19</v>
      </c>
      <c r="G19" s="10">
        <f>G13/G18</f>
        <v>5.2896023614911476E-2</v>
      </c>
      <c r="H19" s="10">
        <f t="shared" ref="H19:P19" si="10">H13/H18</f>
        <v>5.8634394224157935E-2</v>
      </c>
      <c r="I19" s="10">
        <f t="shared" si="10"/>
        <v>6.5365042990398498E-2</v>
      </c>
      <c r="J19" s="10">
        <f t="shared" si="10"/>
        <v>7.333300831156217E-2</v>
      </c>
      <c r="K19" s="10">
        <f t="shared" si="10"/>
        <v>8.2865200079969101E-2</v>
      </c>
      <c r="L19" s="10">
        <f t="shared" si="10"/>
        <v>9.4406494325720652E-2</v>
      </c>
      <c r="M19" s="10">
        <f t="shared" si="10"/>
        <v>0.10857661362253559</v>
      </c>
      <c r="N19" s="10">
        <f t="shared" si="10"/>
        <v>0.12626355569869219</v>
      </c>
      <c r="O19" s="10">
        <f t="shared" si="10"/>
        <v>0.14878522915895148</v>
      </c>
      <c r="P19" s="10">
        <f t="shared" si="10"/>
        <v>0.17818876167709763</v>
      </c>
      <c r="Q19" s="10">
        <f>Q13/Q18</f>
        <v>0.21785902327647938</v>
      </c>
    </row>
    <row r="20" spans="6:17" x14ac:dyDescent="0.25">
      <c r="F20" s="7" t="s">
        <v>20</v>
      </c>
      <c r="G20" s="7">
        <f>1-((($C$6-1)/($C$6+1))*G21^2)</f>
        <v>0.99944351620855021</v>
      </c>
      <c r="H20" s="7">
        <f t="shared" ref="H20:Q20" si="11">1-((($C$6-1)/($C$6+1))*H21^2)</f>
        <v>0.99931709719182982</v>
      </c>
      <c r="I20" s="7">
        <f t="shared" si="11"/>
        <v>0.99915272236888353</v>
      </c>
      <c r="J20" s="7">
        <f t="shared" si="11"/>
        <v>0.99893589887570344</v>
      </c>
      <c r="K20" s="7">
        <f t="shared" si="11"/>
        <v>0.99864527652371438</v>
      </c>
      <c r="L20" s="7">
        <f t="shared" si="11"/>
        <v>0.99824869999032018</v>
      </c>
      <c r="M20" s="7">
        <f t="shared" si="11"/>
        <v>0.99769653435961525</v>
      </c>
      <c r="N20" s="7">
        <f t="shared" si="11"/>
        <v>0.99691002661230765</v>
      </c>
      <c r="O20" s="7">
        <f t="shared" si="11"/>
        <v>0.99576029997246285</v>
      </c>
      <c r="P20" s="7">
        <f t="shared" si="11"/>
        <v>0.99402893068961562</v>
      </c>
      <c r="Q20" s="7">
        <f t="shared" si="11"/>
        <v>0.9913304474115705</v>
      </c>
    </row>
    <row r="21" spans="6:17" x14ac:dyDescent="0.25">
      <c r="F21" s="7" t="s">
        <v>21</v>
      </c>
      <c r="G21" s="7">
        <f>SQRT(((($C$6+1)/2)*G19^2)/(1+2*G19^2))</f>
        <v>5.7783239340648267E-2</v>
      </c>
      <c r="H21" s="7">
        <f>SQRT(((($C$6+1)/2)*H19^2)/(1+2*H19^2))</f>
        <v>6.4011068175910346E-2</v>
      </c>
      <c r="I21" s="7">
        <f t="shared" ref="I21:Q21" si="12">SQRT(((($C$6+1)/2)*I19^2)/(1+2*I19^2))</f>
        <v>7.1299830201050754E-2</v>
      </c>
      <c r="J21" s="7">
        <f t="shared" si="12"/>
        <v>7.9903734241767707E-2</v>
      </c>
      <c r="K21" s="7">
        <f t="shared" si="12"/>
        <v>9.0157311726301703E-2</v>
      </c>
      <c r="L21" s="7">
        <f t="shared" si="12"/>
        <v>0.10250756098005132</v>
      </c>
      <c r="M21" s="7">
        <f t="shared" si="12"/>
        <v>0.11756187240048716</v>
      </c>
      <c r="N21" s="7">
        <f t="shared" si="12"/>
        <v>0.13616108227446702</v>
      </c>
      <c r="O21" s="7">
        <f t="shared" si="12"/>
        <v>0.15949357405620704</v>
      </c>
      <c r="P21" s="7">
        <f t="shared" si="12"/>
        <v>0.18927867249721111</v>
      </c>
      <c r="Q21" s="7">
        <f t="shared" si="12"/>
        <v>0.22807304867207989</v>
      </c>
    </row>
    <row r="22" spans="6:17" x14ac:dyDescent="0.25">
      <c r="F22" s="7" t="s">
        <v>22</v>
      </c>
      <c r="G22" s="7">
        <f>(1-((($C$6-1)/($C$6+1))*G21^2))^($C$6/($C$6-1))</f>
        <v>0.99805366117765237</v>
      </c>
      <c r="H22" s="7">
        <f t="shared" ref="H22:Q22" si="13">(1-((($C$6-1)/($C$6+1))*H21^2))^($C$6/($C$6-1))</f>
        <v>0.99761187978337129</v>
      </c>
      <c r="I22" s="7">
        <f t="shared" si="13"/>
        <v>0.99703766768300728</v>
      </c>
      <c r="J22" s="7">
        <f t="shared" si="13"/>
        <v>0.99628059729111984</v>
      </c>
      <c r="K22" s="7">
        <f t="shared" si="13"/>
        <v>0.99526649172633497</v>
      </c>
      <c r="L22" s="7">
        <f t="shared" si="13"/>
        <v>0.99388385657020595</v>
      </c>
      <c r="M22" s="7">
        <f t="shared" si="13"/>
        <v>0.99196105707910687</v>
      </c>
      <c r="N22" s="7">
        <f t="shared" si="13"/>
        <v>0.98922680084846382</v>
      </c>
      <c r="O22" s="7">
        <f t="shared" si="13"/>
        <v>0.98523952415656879</v>
      </c>
      <c r="P22" s="7">
        <f t="shared" si="13"/>
        <v>0.97925677686402768</v>
      </c>
      <c r="Q22" s="7">
        <f t="shared" si="13"/>
        <v>0.96998397207868259</v>
      </c>
    </row>
    <row r="23" spans="6:17" x14ac:dyDescent="0.25">
      <c r="F23" s="7" t="s">
        <v>11</v>
      </c>
      <c r="G23" s="7">
        <f>G14/G22</f>
        <v>104999.1136381212</v>
      </c>
      <c r="H23" s="7">
        <f t="shared" ref="H23:Q23" si="14">H14/H22</f>
        <v>104996.18181309552</v>
      </c>
      <c r="I23" s="7">
        <f t="shared" si="14"/>
        <v>104992.03039203325</v>
      </c>
      <c r="J23" s="7">
        <f t="shared" si="14"/>
        <v>104986.00844935485</v>
      </c>
      <c r="K23" s="7">
        <f t="shared" si="14"/>
        <v>104977.02654597709</v>
      </c>
      <c r="L23" s="7">
        <f t="shared" si="14"/>
        <v>104963.18841992656</v>
      </c>
      <c r="M23" s="7">
        <f t="shared" si="14"/>
        <v>104941.04059681571</v>
      </c>
      <c r="N23" s="7">
        <f t="shared" si="14"/>
        <v>104903.95283968544</v>
      </c>
      <c r="O23" s="7">
        <f t="shared" si="14"/>
        <v>104838.37956139028</v>
      </c>
      <c r="P23" s="7">
        <f t="shared" si="14"/>
        <v>104714.51111971177</v>
      </c>
      <c r="Q23" s="7">
        <f t="shared" si="14"/>
        <v>104460.48895309043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M=1,5_Var</vt:lpstr>
      <vt:lpstr>Const_p135</vt:lpstr>
      <vt:lpstr>Var_p135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2021-05-23T07:23:58Z</dcterms:created>
  <dcterms:modified xsi:type="dcterms:W3CDTF">2021-05-24T15:25:42Z</dcterms:modified>
</cp:coreProperties>
</file>